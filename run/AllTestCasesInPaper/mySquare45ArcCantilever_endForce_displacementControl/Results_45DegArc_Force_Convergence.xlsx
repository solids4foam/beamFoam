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<sst xmlns="http://schemas.openxmlformats.org/spreadsheetml/2006/main" count="18" uniqueCount="18">
  <si>
    <t xml:space="preserve">Cvs</t>
  </si>
  <si>
    <t xml:space="preserve">Mesh size</t>
  </si>
  <si>
    <t xml:space="preserve">Fx</t>
  </si>
  <si>
    <t xml:space="preserve">Fy</t>
  </si>
  <si>
    <t xml:space="preserve">Fz</t>
  </si>
  <si>
    <t xml:space="preserve">Absolute error for Fx</t>
  </si>
  <si>
    <t xml:space="preserve">Abs error for Fy</t>
  </si>
  <si>
    <t xml:space="preserve">Relative error of Fz</t>
  </si>
  <si>
    <t xml:space="preserve">Order of Conv Fx</t>
  </si>
  <si>
    <t xml:space="preserve">Order of Conv Fy</t>
  </si>
  <si>
    <t xml:space="preserve">Order of Conv Fz</t>
  </si>
  <si>
    <t xml:space="preserve">time (s)</t>
  </si>
  <si>
    <t xml:space="preserve">Expected Force values</t>
  </si>
  <si>
    <t xml:space="preserve">Order of convergence</t>
  </si>
  <si>
    <t xml:space="preserve">Length of the beam</t>
  </si>
  <si>
    <t xml:space="preserve">78.53 m</t>
  </si>
  <si>
    <t xml:space="preserve">Applied displacement</t>
  </si>
  <si>
    <t xml:space="preserve">corresponding to 1280 Cvs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</si>
</sst>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true" showOutlineSymbols="true" defaultGridColor="true" view="normal" topLeftCell="A1" colorId="64" zoomScale="72" zoomScaleNormal="72" zoomScalePageLayoutView="100" workbookViewId="0">
      <selection pane="topLeft" activeCell="G16" activeCellId="0" sqref="G16"/>
    </sheetView>
  </sheetViews>
  <sheetFormatPr defaultColWidth="19.4609375" defaultRowHeight="19.7" zeroHeight="false" outlineLevelRow="0" outlineLevelCol="0"/>
  <cols>
    <col collapsed="false" customWidth="true" hidden="false" outlineLevel="0" max="1" min="1" style="1" width="14.43"/>
    <col collapsed="false" customWidth="true" hidden="false" outlineLevel="0" max="2" min="2" style="1" width="21.36"/>
    <col collapsed="false" customWidth="true" hidden="false" outlineLevel="0" max="3" min="3" style="1" width="17.29"/>
    <col collapsed="false" customWidth="true" hidden="false" outlineLevel="0" max="4" min="4" style="1" width="17.59"/>
    <col collapsed="false" customWidth="true" hidden="false" outlineLevel="0" max="5" min="5" style="1" width="20.76"/>
    <col collapsed="false" customWidth="false" hidden="false" outlineLevel="0" max="8" min="6" style="1" width="19.44"/>
    <col collapsed="false" customWidth="true" hidden="false" outlineLevel="0" max="9" min="9" style="1" width="12.33"/>
    <col collapsed="false" customWidth="true" hidden="false" outlineLevel="0" max="10" min="10" style="1" width="12.78"/>
    <col collapsed="false" customWidth="true" hidden="false" outlineLevel="0" max="11" min="11" style="1" width="12.18"/>
    <col collapsed="false" customWidth="false" hidden="false" outlineLevel="0" max="1024" min="12" style="1" width="19.44"/>
  </cols>
  <sheetData>
    <row r="1" customFormat="false" ht="37.3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customFormat="false" ht="19.7" hidden="false" customHeight="false" outlineLevel="0" collapsed="false">
      <c r="A2" s="1" t="n">
        <v>8</v>
      </c>
      <c r="B2" s="1" t="n">
        <f aca="false">ROUND(78.53981634/A2,3)</f>
        <v>9.817</v>
      </c>
      <c r="C2" s="1" t="n">
        <v>87.8827</v>
      </c>
      <c r="D2" s="1" t="n">
        <v>40.1159</v>
      </c>
      <c r="E2" s="1" t="n">
        <v>744.008</v>
      </c>
      <c r="F2" s="1" t="n">
        <f aca="false">C2</f>
        <v>87.8827</v>
      </c>
      <c r="G2" s="1" t="n">
        <f aca="false">D2</f>
        <v>40.1159</v>
      </c>
      <c r="H2" s="1" t="n">
        <f aca="false">ROUND(ABS(E2-600)/600,4)</f>
        <v>0.24</v>
      </c>
      <c r="I2" s="1" t="n">
        <f aca="false">ROUND((LOG10(F2)-LOG10(F3))/(LOG10(B2)-LOG10(B3)),3)</f>
        <v>2.185</v>
      </c>
      <c r="J2" s="1" t="n">
        <f aca="false">ROUND((LOG10(G2)-LOG10(G3))/(LOG10(B2)-LOG10(B3)),3)</f>
        <v>2.163</v>
      </c>
      <c r="K2" s="1" t="n">
        <f aca="false">ROUND((LOG10(H2)-LOG10(H3))/(LOG10(B2)-LOG10(B3)),3)</f>
        <v>2.161</v>
      </c>
      <c r="L2" s="1" t="n">
        <v>2</v>
      </c>
    </row>
    <row r="3" customFormat="false" ht="19.7" hidden="false" customHeight="false" outlineLevel="0" collapsed="false">
      <c r="A3" s="1" t="n">
        <v>10</v>
      </c>
      <c r="B3" s="1" t="n">
        <f aca="false">ROUND(78.53981634/A3,3)</f>
        <v>7.854</v>
      </c>
      <c r="C3" s="1" t="n">
        <v>53.982</v>
      </c>
      <c r="D3" s="1" t="n">
        <v>24.7579</v>
      </c>
      <c r="E3" s="1" t="n">
        <v>688.905</v>
      </c>
      <c r="F3" s="1" t="n">
        <f aca="false">C3</f>
        <v>53.982</v>
      </c>
      <c r="G3" s="1" t="n">
        <f aca="false">D3</f>
        <v>24.7579</v>
      </c>
      <c r="H3" s="1" t="n">
        <f aca="false">ROUND(ABS(E3-600)/600,4)</f>
        <v>0.1482</v>
      </c>
      <c r="I3" s="1" t="n">
        <f aca="false">ROUND((LOG10(F3)-LOG10(F4))/(LOG10(B3)-LOG10(B4)),3)</f>
        <v>2.075</v>
      </c>
      <c r="J3" s="1" t="n">
        <f aca="false">ROUND((LOG10(G3)-LOG10(G4))/(LOG10(B3)-LOG10(B4)),3)</f>
        <v>2.066</v>
      </c>
      <c r="K3" s="1" t="n">
        <f aca="false">ROUND((LOG10(H3)-LOG10(H4))/(LOG10(B3)-LOG10(B4)),3)</f>
        <v>2.066</v>
      </c>
      <c r="L3" s="1" t="n">
        <v>4</v>
      </c>
    </row>
    <row r="4" customFormat="false" ht="19.7" hidden="false" customHeight="false" outlineLevel="0" collapsed="false">
      <c r="A4" s="1" t="n">
        <v>20</v>
      </c>
      <c r="B4" s="1" t="n">
        <f aca="false">ROUND(78.53981634/A4,3)</f>
        <v>3.927</v>
      </c>
      <c r="C4" s="1" t="n">
        <v>12.8093</v>
      </c>
      <c r="D4" s="1" t="n">
        <v>5.91147</v>
      </c>
      <c r="E4" s="1" t="n">
        <v>621.235</v>
      </c>
      <c r="F4" s="1" t="n">
        <f aca="false">C4</f>
        <v>12.8093</v>
      </c>
      <c r="G4" s="1" t="n">
        <f aca="false">D4</f>
        <v>5.91147</v>
      </c>
      <c r="H4" s="1" t="n">
        <f aca="false">ROUND(ABS(E4-600)/600,4)</f>
        <v>0.0354</v>
      </c>
      <c r="I4" s="1" t="n">
        <f aca="false">ROUND((LOG10(F4)-LOG10(F5))/(LOG10(B4)-LOG10(B5)),3)</f>
        <v>2.014</v>
      </c>
      <c r="J4" s="1" t="n">
        <f aca="false">ROUND((LOG10(G4)-LOG10(G5))/(LOG10(B4)-LOG10(B5)),3)</f>
        <v>2.011</v>
      </c>
      <c r="K4" s="1" t="n">
        <f aca="false">ROUND((LOG10(H4)-LOG10(H5))/(LOG10(B4)-LOG10(B5)),3)</f>
        <v>2.007</v>
      </c>
      <c r="L4" s="1" t="n">
        <v>4.6</v>
      </c>
    </row>
    <row r="5" customFormat="false" ht="19.7" hidden="false" customHeight="false" outlineLevel="0" collapsed="false">
      <c r="A5" s="1" t="n">
        <v>40</v>
      </c>
      <c r="B5" s="1" t="n">
        <f aca="false">ROUND(78.53981634/A5,3)</f>
        <v>1.963</v>
      </c>
      <c r="C5" s="1" t="n">
        <v>3.17027</v>
      </c>
      <c r="D5" s="1" t="n">
        <v>1.46545</v>
      </c>
      <c r="E5" s="1" t="n">
        <v>605.263</v>
      </c>
      <c r="F5" s="1" t="n">
        <f aca="false">C5</f>
        <v>3.17027</v>
      </c>
      <c r="G5" s="1" t="n">
        <f aca="false">D5</f>
        <v>1.46545</v>
      </c>
      <c r="H5" s="1" t="n">
        <f aca="false">ROUND(ABS(E5-600)/600,4)</f>
        <v>0.0088</v>
      </c>
      <c r="I5" s="1" t="n">
        <f aca="false">ROUND((LOG10(F5)-LOG10(F6))/(LOG10(B5)-LOG10(B6)),3)</f>
        <v>1.99</v>
      </c>
      <c r="J5" s="1" t="n">
        <f aca="false">ROUND((LOG10(G5)-LOG10(G6))/(LOG10(B5)-LOG10(B6)),3)</f>
        <v>1.989</v>
      </c>
      <c r="K5" s="1" t="n">
        <f aca="false">ROUND((LOG10(H5)-LOG10(H6))/(LOG10(B5)-LOG10(B6)),3)</f>
        <v>2.001</v>
      </c>
      <c r="L5" s="1" t="n">
        <v>8</v>
      </c>
    </row>
    <row r="6" customFormat="false" ht="19.7" hidden="false" customHeight="false" outlineLevel="0" collapsed="false">
      <c r="A6" s="1" t="n">
        <v>80</v>
      </c>
      <c r="B6" s="1" t="n">
        <f aca="false">ROUND(78.53981634/A6,3)</f>
        <v>0.982</v>
      </c>
      <c r="C6" s="1" t="n">
        <v>0.798758</v>
      </c>
      <c r="D6" s="1" t="n">
        <v>0.369466</v>
      </c>
      <c r="E6" s="1" t="n">
        <v>601.326</v>
      </c>
      <c r="F6" s="1" t="n">
        <f aca="false">C6</f>
        <v>0.798758</v>
      </c>
      <c r="G6" s="1" t="n">
        <f aca="false">D6</f>
        <v>0.369466</v>
      </c>
      <c r="H6" s="1" t="n">
        <f aca="false">ROUND(ABS(E6-600)/600,4)</f>
        <v>0.0022</v>
      </c>
      <c r="I6" s="1" t="n">
        <f aca="false">ROUND((LOG10(F6)-LOG10(F7))/(LOG10(B6)-LOG10(B7)),3)</f>
        <v>1.94</v>
      </c>
      <c r="J6" s="1" t="n">
        <f aca="false">ROUND((LOG10(G6)-LOG10(G7))/(LOG10(B6)-LOG10(B7)),3)</f>
        <v>1.938</v>
      </c>
      <c r="K6" s="1" t="n">
        <f aca="false">ROUND((LOG10(H6)-LOG10(H7))/(LOG10(B6)-LOG10(B7)),3)</f>
        <v>1.874</v>
      </c>
      <c r="L6" s="1" t="n">
        <v>12</v>
      </c>
    </row>
    <row r="7" customFormat="false" ht="19.7" hidden="false" customHeight="false" outlineLevel="0" collapsed="false">
      <c r="A7" s="1" t="n">
        <v>160</v>
      </c>
      <c r="B7" s="1" t="n">
        <f aca="false">ROUND(78.53981634/A7,3)</f>
        <v>0.491</v>
      </c>
      <c r="C7" s="1" t="n">
        <v>0.208219</v>
      </c>
      <c r="D7" s="1" t="n">
        <v>0.0964289</v>
      </c>
      <c r="E7" s="1" t="n">
        <v>600.345</v>
      </c>
      <c r="F7" s="1" t="n">
        <f aca="false">C7</f>
        <v>0.208219</v>
      </c>
      <c r="G7" s="1" t="n">
        <f aca="false">D7</f>
        <v>0.0964289</v>
      </c>
      <c r="H7" s="1" t="n">
        <f aca="false">ROUND(ABS(E7-600)/600,4)</f>
        <v>0.0006</v>
      </c>
      <c r="I7" s="1" t="n">
        <f aca="false">ROUND((LOG10(F7)-LOG10(F8))/(LOG10(B7)-LOG10(B8)),3)</f>
        <v>1.774</v>
      </c>
      <c r="J7" s="1" t="n">
        <f aca="false">ROUND((LOG10(G7)-LOG10(G8))/(LOG10(B7)-LOG10(B8)),3)</f>
        <v>1.769</v>
      </c>
      <c r="K7" s="1" t="n">
        <f aca="false">ROUND((LOG10(H7)-LOG10(H8))/(LOG10(B7)-LOG10(B8)),3)</f>
        <v>1.58</v>
      </c>
      <c r="L7" s="1" t="n">
        <v>20</v>
      </c>
    </row>
    <row r="8" customFormat="false" ht="19.7" hidden="false" customHeight="false" outlineLevel="0" collapsed="false">
      <c r="A8" s="1" t="n">
        <v>320</v>
      </c>
      <c r="B8" s="1" t="n">
        <f aca="false">ROUND(78.53981634/A8,3)</f>
        <v>0.245</v>
      </c>
      <c r="C8" s="1" t="n">
        <v>0.060653</v>
      </c>
      <c r="D8" s="1" t="n">
        <v>0.0281871</v>
      </c>
      <c r="E8" s="1" t="n">
        <v>600.099</v>
      </c>
      <c r="F8" s="1" t="n">
        <f aca="false">C8</f>
        <v>0.060653</v>
      </c>
      <c r="G8" s="1" t="n">
        <f aca="false">D8</f>
        <v>0.0281871</v>
      </c>
      <c r="H8" s="1" t="n">
        <f aca="false">ROUND(ABS(E8-600)/600,4)</f>
        <v>0.0002</v>
      </c>
      <c r="L8" s="1" t="n">
        <v>41</v>
      </c>
    </row>
    <row r="9" customFormat="false" ht="37.3" hidden="false" customHeight="false" outlineLevel="0" collapsed="false">
      <c r="B9" s="2" t="s">
        <v>12</v>
      </c>
      <c r="C9" s="1" t="n">
        <v>0</v>
      </c>
      <c r="D9" s="1" t="n">
        <v>0</v>
      </c>
      <c r="E9" s="1" t="n">
        <v>600</v>
      </c>
    </row>
    <row r="11" customFormat="false" ht="19.7" hidden="false" customHeight="true" outlineLevel="0" collapsed="false">
      <c r="H11" s="2" t="s">
        <v>13</v>
      </c>
      <c r="I11" s="1" t="n">
        <f aca="false">AVERAGE(I2:I7)</f>
        <v>1.99633333333333</v>
      </c>
      <c r="J11" s="1" t="n">
        <f aca="false">AVERAGE(J2:J7)</f>
        <v>1.98933333333333</v>
      </c>
      <c r="K11" s="1" t="n">
        <f aca="false">AVERAGE(K2:K7)</f>
        <v>1.94816666666667</v>
      </c>
    </row>
    <row r="12" customFormat="false" ht="19.7" hidden="false" customHeight="false" outlineLevel="0" collapsed="false">
      <c r="H12" s="2"/>
    </row>
    <row r="13" customFormat="false" ht="19.7" hidden="false" customHeight="true" outlineLevel="0" collapsed="false">
      <c r="A13" s="2" t="s">
        <v>14</v>
      </c>
      <c r="B13" s="1" t="s">
        <v>15</v>
      </c>
    </row>
    <row r="14" customFormat="false" ht="19.7" hidden="false" customHeight="false" outlineLevel="0" collapsed="false">
      <c r="A14" s="2"/>
      <c r="B14" s="2"/>
    </row>
    <row r="16" customFormat="false" ht="56.05" hidden="false" customHeight="false" outlineLevel="0" collapsed="false">
      <c r="A16" s="2" t="s">
        <v>16</v>
      </c>
      <c r="B16" s="1" t="n">
        <v>-23.5607</v>
      </c>
      <c r="C16" s="1" t="n">
        <v>-13.6048</v>
      </c>
      <c r="D16" s="1" t="n">
        <v>53.4756</v>
      </c>
      <c r="E16" s="2" t="s">
        <v>17</v>
      </c>
    </row>
    <row r="17" customFormat="false" ht="19.7" hidden="false" customHeight="false" outlineLevel="0" collapsed="false">
      <c r="A17" s="2"/>
    </row>
    <row r="18" customFormat="false" ht="19.7" hidden="false" customHeight="false" outlineLevel="0" collapsed="false">
      <c r="A18" s="2"/>
      <c r="B18" s="2"/>
    </row>
    <row r="19" customFormat="false" ht="19.7" hidden="false" customHeight="false" outlineLevel="0" collapsed="false">
      <c r="B19" s="2"/>
    </row>
    <row r="20" customFormat="false" ht="19.7" hidden="false" customHeight="false" outlineLevel="0" collapsed="false">
      <c r="B20" s="2"/>
    </row>
  </sheetData>
  <mergeCells count="3">
    <mergeCell ref="H11:H12"/>
    <mergeCell ref="A13:A14"/>
    <mergeCell ref="B13:B14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2021-09-01T19:07:16Z</dcterms:created>
  <dc:creator/>
  <dc:description/>
  <dc:language>en-US</dc:language>
  <cp:lastModifiedBy/>
  <dcterms:modified xsi:type="dcterms:W3CDTF">2021-09-02T17:16:11Z</dcterms:modified>
  <cp:revision>7</cp:revision>
  <dc:subject/>
  <dc:title/>
</cp:coreProperties>
</file>