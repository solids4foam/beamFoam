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<sst xmlns="http://schemas.openxmlformats.org/spreadsheetml/2006/main" count="14" uniqueCount="14">
  <si>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Cvs</t>
  </si>
  <si>
    <t xml:space="preserve">Element Size</t>
  </si>
  <si>
    <t xml:space="preserve">Disp_x</t>
  </si>
  <si>
    <t xml:space="preserve">Disp_y</t>
  </si>
  <si>
    <t xml:space="preserve">Rel Err_x</t>
  </si>
  <si>
    <t xml:space="preserve">Rel Err_y</t>
  </si>
  <si>
    <t xml:space="preserve">Order of convergence_x</t>
  </si>
  <si>
    <t xml:space="preserve">Order of convergence_y</t>
  </si>
  <si>
    <t xml:space="preserve">Abs Error_x</t>
  </si>
  <si>
    <t xml:space="preserve">Abs Error_y</t>
  </si>
  <si>
    <t xml:space="preserve">Not feasible</t>
  </si>
  <si>
    <t xml:space="preserve">Analytic Solution</t>
  </si>
  <si>
    <t xml:space="preserve">Applied Moment</t>
  </si>
  <si>
    <t xml:space="preserve">2.5pi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</si>
</sst>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C19" activeCellId="0" sqref="C19"/>
    </sheetView>
  </sheetViews>
  <sheetFormatPr defaultColWidth="12.9765625" defaultRowHeight="19.7" zeroHeight="false" outlineLevelRow="0" outlineLevelCol="0"/>
  <cols>
    <col collapsed="false" customWidth="false" hidden="false" outlineLevel="0" max="6" min="1" style="1" width="12.96"/>
    <col collapsed="false" customWidth="true" hidden="false" outlineLevel="0" max="7" min="7" style="1" width="25.4"/>
    <col collapsed="false" customWidth="true" hidden="false" outlineLevel="0" max="8" min="8" style="1" width="22.55"/>
    <col collapsed="false" customWidth="false" hidden="false" outlineLevel="0" max="1024" min="9" style="1" width="12.96"/>
  </cols>
  <sheetData>
    <row r="1" customFormat="false" ht="37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</row>
    <row r="2" s="2" customFormat="true" ht="19.7" hidden="false" customHeight="false" outlineLevel="0" collapsed="false">
      <c r="A2" s="2" t="n">
        <v>5</v>
      </c>
      <c r="B2" s="2" t="n">
        <f aca="false">10/A2</f>
        <v>2</v>
      </c>
      <c r="C2" s="2" t="n">
        <v>-1.01536</v>
      </c>
      <c r="D2" s="2" t="n">
        <v>3.72156</v>
      </c>
      <c r="E2" s="2" t="n">
        <f aca="false">ABS(ABS(C2)-ABS(C8))/ABS(C8)</f>
        <v>0.0185817741516417</v>
      </c>
      <c r="F2" s="2" t="n">
        <f aca="false">ABS(D2-3.72923)/3.72923</f>
        <v>0.00205672484668419</v>
      </c>
      <c r="G2" s="0"/>
      <c r="H2" s="0"/>
      <c r="J2" s="2" t="n">
        <f aca="false">ABS(C2)-ABS(0.99684)</f>
        <v>0.01852</v>
      </c>
      <c r="K2" s="2" t="n">
        <f aca="false">ABS(ABS(D2)-3.72923)</f>
        <v>0.00767000000000007</v>
      </c>
    </row>
    <row r="3" s="2" customFormat="true" ht="19.7" hidden="false" customHeight="false" outlineLevel="0" collapsed="false">
      <c r="A3" s="2" t="n">
        <v>10</v>
      </c>
      <c r="B3" s="2" t="n">
        <f aca="false">10/A3</f>
        <v>1</v>
      </c>
      <c r="C3" s="2" t="n">
        <v>-1.00147</v>
      </c>
      <c r="D3" s="2" t="n">
        <v>3.72732</v>
      </c>
      <c r="E3" s="2" t="n">
        <f aca="false">ABS(ABS(C3)-ABS(C8))/ABS(C8)</f>
        <v>0.00464770067724223</v>
      </c>
      <c r="F3" s="2" t="n">
        <f aca="false">ABS(D3-3.72923)/3.72923</f>
        <v>0.000512170072642363</v>
      </c>
      <c r="G3" s="2" t="n">
        <f aca="false">ROUND((LOG10(E2)-LOG10(E3))/(LOG10(B2)-LOG10(B3)),4)</f>
        <v>1.9993</v>
      </c>
      <c r="H3" s="2" t="n">
        <f aca="false">ROUND((LOG10(F2)-LOG10(F3))/(LOG10(B2)-LOG10(B3)),3)</f>
        <v>2.006</v>
      </c>
      <c r="J3" s="2" t="n">
        <f aca="false">ABS(C3)-ABS(0.99684)</f>
        <v>0.00463000000000002</v>
      </c>
      <c r="K3" s="2" t="n">
        <f aca="false">ABS(ABS(D3)-3.72923)</f>
        <v>0.00191000000000008</v>
      </c>
    </row>
    <row r="4" s="2" customFormat="true" ht="19.7" hidden="false" customHeight="false" outlineLevel="0" collapsed="false">
      <c r="A4" s="2" t="n">
        <v>20</v>
      </c>
      <c r="B4" s="2" t="n">
        <f aca="false">10/A4</f>
        <v>0.5</v>
      </c>
      <c r="C4" s="2" t="n">
        <v>-0.997994</v>
      </c>
      <c r="D4" s="2" t="n">
        <v>3.72875</v>
      </c>
      <c r="E4" s="2" t="n">
        <f aca="false">ABS(ABS(C4)-ABS(C8))/ABS(C8)</f>
        <v>0.0011606712030151</v>
      </c>
      <c r="F4" s="2" t="n">
        <f aca="false">ABS(D4-3.72923)/3.72923</f>
        <v>0.000128712897836948</v>
      </c>
      <c r="G4" s="2" t="n">
        <f aca="false">ROUND((LOG10(E3)-LOG10(E4))/(LOG10(B3)-LOG10(B4)),4)</f>
        <v>2.0016</v>
      </c>
      <c r="H4" s="2" t="n">
        <f aca="false">ROUND((LOG10(F3)-LOG10(F4))/(LOG10(B3)-LOG10(B4)),3)</f>
        <v>1.992</v>
      </c>
      <c r="J4" s="2" t="n">
        <f aca="false">ABS(C4)-ABS(0.99684)</f>
        <v>0.00115399999999988</v>
      </c>
      <c r="K4" s="2" t="n">
        <f aca="false">ABS(ABS(D4)-3.72923)</f>
        <v>0.00048000000000048</v>
      </c>
    </row>
    <row r="5" s="2" customFormat="true" ht="19.7" hidden="false" customHeight="true" outlineLevel="0" collapsed="false">
      <c r="A5" s="2" t="n">
        <v>40</v>
      </c>
      <c r="B5" s="2" t="n">
        <f aca="false">10/A5</f>
        <v>0.25</v>
      </c>
      <c r="C5" s="2" t="n">
        <v>-0.997126</v>
      </c>
      <c r="D5" s="2" t="n">
        <v>3.72911</v>
      </c>
      <c r="E5" s="2" t="n">
        <f aca="false">ABS(ABS(C5)-ABS(C8))/ABS(C8)</f>
        <v>0.000289917007494689</v>
      </c>
      <c r="F5" s="2" t="n">
        <f aca="false">ABS(D5-3.72923)/3.72923</f>
        <v>3.21782244592964E-005</v>
      </c>
      <c r="G5" s="2" t="n">
        <f aca="false">ROUND((LOG10(E4)-LOG10(E5))/(LOG10(B4)-LOG10(B5)),4)</f>
        <v>2.0012</v>
      </c>
      <c r="H5" s="2" t="n">
        <f aca="false">ROUND((LOG10(F4)-LOG10(F5))/(LOG10(B4)-LOG10(B5)),3)</f>
        <v>2</v>
      </c>
      <c r="J5" s="2" t="n">
        <f aca="false">ABS(C5)-ABS(0.99684)</f>
        <v>0.000285999999999897</v>
      </c>
      <c r="K5" s="2" t="n">
        <f aca="false">ABS(ABS(D5)-3.72923)</f>
        <v>0.000120000000000342</v>
      </c>
      <c r="M5" s="3" t="s">
        <v>10</v>
      </c>
    </row>
    <row r="6" s="2" customFormat="true" ht="19.7" hidden="false" customHeight="false" outlineLevel="0" collapsed="false">
      <c r="A6" s="2" t="n">
        <v>80</v>
      </c>
      <c r="B6" s="2" t="n">
        <f aca="false">10/A6</f>
        <v>0.125</v>
      </c>
      <c r="C6" s="2" t="n">
        <v>-0.996909</v>
      </c>
      <c r="D6" s="2" t="n">
        <v>3.7292</v>
      </c>
      <c r="E6" s="2" t="n">
        <f aca="false">ABS(ABS(C6)-ABS(C8))/ABS(C8)</f>
        <v>7.22284586145588E-005</v>
      </c>
      <c r="F6" s="2" t="n">
        <f aca="false">ABS(D6-3.72923)/3.72923</f>
        <v>8.04455611485388E-006</v>
      </c>
      <c r="G6" s="2" t="n">
        <f aca="false">ROUND((LOG10(E5)-LOG10(E6))/(LOG10(B5)-LOG10(B6)),4)</f>
        <v>2.005</v>
      </c>
      <c r="H6" s="2" t="n">
        <f aca="false">ROUND((LOG10(F5)-LOG10(F6))/(LOG10(B5)-LOG10(B6)),3)</f>
        <v>2</v>
      </c>
      <c r="J6" s="2" t="n">
        <f aca="false">ABS(C6)-ABS(0.99684)</f>
        <v>6.89999999998747E-005</v>
      </c>
      <c r="K6" s="2" t="n">
        <f aca="false">ABS(ABS(D6)-3.72923)</f>
        <v>3.00000000001965E-005</v>
      </c>
      <c r="M6" s="3"/>
    </row>
    <row r="7" s="2" customFormat="true" ht="19.7" hidden="false" customHeight="false" outlineLevel="0" collapsed="false"/>
    <row r="8" s="2" customFormat="true" ht="37.65" hidden="false" customHeight="false" outlineLevel="0" collapsed="false">
      <c r="A8" s="2" t="s">
        <v>11</v>
      </c>
      <c r="C8" s="2" t="n">
        <v>-0.996837</v>
      </c>
      <c r="D8" s="2" t="n">
        <v>3.72923</v>
      </c>
      <c r="G8" s="2" t="n">
        <f aca="false">ROUND(AVERAGE(G3:G6),3)</f>
        <v>2.002</v>
      </c>
      <c r="H8" s="2" t="n">
        <f aca="false">ROUND(AVERAGE(H3:H6),3)</f>
        <v>2</v>
      </c>
    </row>
    <row r="9" customFormat="false" ht="37.65" hidden="false" customHeight="false" outlineLevel="0" collapsed="false">
      <c r="A9" s="2" t="s">
        <v>12</v>
      </c>
      <c r="B9" s="2"/>
      <c r="C9" s="2" t="s">
        <v>13</v>
      </c>
    </row>
  </sheetData>
  <mergeCells count="1">
    <mergeCell ref="M5:M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2021-06-22T17:56:26Z</dcterms:created>
  <dc:creator/>
  <dc:description/>
  <dc:language>en-US</dc:language>
  <cp:lastModifiedBy/>
  <dcterms:modified xsi:type="dcterms:W3CDTF">2022-03-23T19:08:22Z</dcterms:modified>
  <cp:revision>3</cp:revision>
  <dc:subject/>
  <dc:title/>
</cp:coreProperties>
</file>