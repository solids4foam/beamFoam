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2"/>
    <sheet name="Sheet2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<sst xmlns="http://schemas.openxmlformats.org/spreadsheetml/2006/main" count="47" uniqueCount="28">
  <si>
    <t xml:space="preserve">Current tangent vector</t>
  </si>
  <si>
    <t xml:space="preserve">Load</t>
  </si>
  <si>
    <t xml:space="preserve">Cvs</t>
  </si>
  <si>
    <t xml:space="preserve">Iterations</t>
  </si>
  <si>
    <t xml:space="preserve">Load Steps</t>
  </si>
  <si>
    <t xml:space="preserve">x disp @ Crown</t>
  </si>
  <si>
    <t xml:space="preserve">y disp @ Crown</t>
  </si>
  <si>
    <t xml:space="preserve">-x/R</t>
  </si>
  <si>
    <t xml:space="preserve">-y/R</t>
  </si>
  <si>
    <t xml:space="preserve">Curvature</t>
  </si>
  <si>
    <t xml:space="preserve">Theta Z</t>
  </si>
  <si>
    <t xml:space="preserve">tx</t>
  </si>
  <si>
    <t xml:space="preserve">ty</t>
  </si>
  <si>
    <t xml:space="preserve">Vector norm</t>
  </si>
  <si>
    <t xml:space="preserve">Rotation angle</t>
  </si>
  <si>
    <t xml:space="preserve">10*rot angle</t>
  </si>
  <si>
    <t xml:space="preserve">EI</t>
  </si>
  <si>
    <t xml:space="preserve">R</t>
  </si>
  <si>
    <t xml:space="preserve">A</t>
  </si>
  <si>
    <t xml:space="preserve">CV</t>
  </si>
  <si>
    <t xml:space="preserve">x/R (41)</t>
  </si>
  <si>
    <t xml:space="preserve">y/R (41)</t>
  </si>
  <si>
    <t xml:space="preserve">x/R (81)</t>
  </si>
  <si>
    <t xml:space="preserve">y/R (81)</t>
  </si>
  <si>
    <t xml:space="preserve">mag(t)</t>
  </si>
  <si>
    <t xml:space="preserve">rot angle</t>
  </si>
  <si>
    <t xml:space="preserve">10phi (40)</t>
  </si>
  <si>
    <t xml:space="preserve">10phi(80)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</si>
</sst>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name val="Arial"/>
      <family val="2"/>
      <charset val="1"/>
    </font>
    <font>
      <sz val="10"/>
      <name val="Arial"/>
      <family val="2"/>
    </font>
    <font>
      <sz val="9"/>
      <name val="Arial"/>
      <family val="2"/>
    </font>
    <font>
      <b val="true"/>
      <sz val="12"/>
      <name val="Arial"/>
      <family val="2"/>
      <charset val="1"/>
    </font>
    <font>
      <sz val="12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E8F2A1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E0021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E8F2A1"/>
      <rgbColor rgb="FF83CAFF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420E"/>
      <rgbColor rgb="FF666699"/>
      <rgbColor rgb="FFB3B3B3"/>
      <rgbColor rgb="FF004586"/>
      <rgbColor rgb="FF579D1C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07494741503377"/>
          <c:y val="0.0565200236733083"/>
          <c:w val="0.716207240119562"/>
          <c:h val="0.756756756756757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Sheet1!$G$2</c:f>
              <c:strCache>
                <c:ptCount val="1"/>
                <c:pt idx="0">
                  <c:v>-x/R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xVal>
            <c:numRef>
              <c:f>Sheet1!$G$3:$G$12</c:f>
              <c:numCache>
                <c:formatCode>General</c:formatCode>
                <c:ptCount val="10"/>
                <c:pt idx="0">
                  <c:v>0.0282287</c:v>
                </c:pt>
                <c:pt idx="1">
                  <c:v>0.0978556</c:v>
                </c:pt>
                <c:pt idx="2">
                  <c:v>0.220279</c:v>
                </c:pt>
                <c:pt idx="3">
                  <c:v>0.478721</c:v>
                </c:pt>
                <c:pt idx="4">
                  <c:v>0.513459</c:v>
                </c:pt>
                <c:pt idx="5">
                  <c:v>0.541397</c:v>
                </c:pt>
                <c:pt idx="6">
                  <c:v>0.562545</c:v>
                </c:pt>
                <c:pt idx="7">
                  <c:v>0.579754</c:v>
                </c:pt>
                <c:pt idx="8">
                  <c:v>0.597213</c:v>
                </c:pt>
                <c:pt idx="9">
                  <c:v>0.59811</c:v>
                </c:pt>
              </c:numCache>
            </c:numRef>
          </c:xVal>
          <c:yVal>
            <c:numRef>
              <c:f>Sheet1!$A$3:$A$12</c:f>
              <c:numCache>
                <c:formatCode>General</c:formatCode>
                <c:ptCount val="10"/>
                <c:pt idx="0">
                  <c:v>1</c:v>
                </c:pt>
                <c:pt idx="1">
                  <c:v>2.5</c:v>
                </c:pt>
                <c:pt idx="2">
                  <c:v>4</c:v>
                </c:pt>
                <c:pt idx="3">
                  <c:v>6.5</c:v>
                </c:pt>
                <c:pt idx="4">
                  <c:v>7</c:v>
                </c:pt>
                <c:pt idx="5">
                  <c:v>7.5</c:v>
                </c:pt>
                <c:pt idx="6">
                  <c:v>8</c:v>
                </c:pt>
                <c:pt idx="7">
                  <c:v>8.5</c:v>
                </c:pt>
                <c:pt idx="8">
                  <c:v>8.97</c:v>
                </c:pt>
                <c:pt idx="9">
                  <c:v>8.99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Sheet1!$O$2</c:f>
              <c:strCache>
                <c:ptCount val="1"/>
                <c:pt idx="0">
                  <c:v>10*rot angle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xVal>
            <c:numRef>
              <c:f>Sheet1!$O$3:$O$12</c:f>
              <c:numCache>
                <c:formatCode>General</c:formatCode>
                <c:ptCount val="10"/>
                <c:pt idx="0">
                  <c:v>0.0986394328877216</c:v>
                </c:pt>
                <c:pt idx="1">
                  <c:v>0.310201960370326</c:v>
                </c:pt>
                <c:pt idx="2">
                  <c:v>0.639243532598022</c:v>
                </c:pt>
                <c:pt idx="3">
                  <c:v>1.26179168819157</c:v>
                </c:pt>
                <c:pt idx="4">
                  <c:v>1.33006107006034</c:v>
                </c:pt>
                <c:pt idx="5">
                  <c:v>1.36773943427887</c:v>
                </c:pt>
                <c:pt idx="6">
                  <c:v>1.36795737729241</c:v>
                </c:pt>
                <c:pt idx="7">
                  <c:v>1.31154779947597</c:v>
                </c:pt>
                <c:pt idx="8">
                  <c:v>1.13258830870368</c:v>
                </c:pt>
                <c:pt idx="9">
                  <c:v>1.1175632509322</c:v>
                </c:pt>
              </c:numCache>
            </c:numRef>
          </c:xVal>
          <c:yVal>
            <c:numRef>
              <c:f>Sheet1!$A$3:$A$12</c:f>
              <c:numCache>
                <c:formatCode>General</c:formatCode>
                <c:ptCount val="10"/>
                <c:pt idx="0">
                  <c:v>1</c:v>
                </c:pt>
                <c:pt idx="1">
                  <c:v>2.5</c:v>
                </c:pt>
                <c:pt idx="2">
                  <c:v>4</c:v>
                </c:pt>
                <c:pt idx="3">
                  <c:v>6.5</c:v>
                </c:pt>
                <c:pt idx="4">
                  <c:v>7</c:v>
                </c:pt>
                <c:pt idx="5">
                  <c:v>7.5</c:v>
                </c:pt>
                <c:pt idx="6">
                  <c:v>8</c:v>
                </c:pt>
                <c:pt idx="7">
                  <c:v>8.5</c:v>
                </c:pt>
                <c:pt idx="8">
                  <c:v>8.97</c:v>
                </c:pt>
                <c:pt idx="9">
                  <c:v>8.99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Sheet1!$H$2</c:f>
              <c:strCache>
                <c:ptCount val="1"/>
                <c:pt idx="0">
                  <c:v>-y/R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xVal>
            <c:numRef>
              <c:f>Sheet1!$H$3:$H$12</c:f>
              <c:numCache>
                <c:formatCode>General</c:formatCode>
                <c:ptCount val="10"/>
                <c:pt idx="0">
                  <c:v>0.0366892</c:v>
                </c:pt>
                <c:pt idx="1">
                  <c:v>0.117237</c:v>
                </c:pt>
                <c:pt idx="2">
                  <c:v>0.256947</c:v>
                </c:pt>
                <c:pt idx="3">
                  <c:v>0.677067</c:v>
                </c:pt>
                <c:pt idx="4">
                  <c:v>0.768614</c:v>
                </c:pt>
                <c:pt idx="5">
                  <c:v>0.863236</c:v>
                </c:pt>
                <c:pt idx="6">
                  <c:v>0.939162</c:v>
                </c:pt>
                <c:pt idx="7">
                  <c:v>1.0108</c:v>
                </c:pt>
                <c:pt idx="8">
                  <c:v>1.09729</c:v>
                </c:pt>
                <c:pt idx="9">
                  <c:v>1.10113</c:v>
                </c:pt>
              </c:numCache>
            </c:numRef>
          </c:xVal>
          <c:yVal>
            <c:numRef>
              <c:f>Sheet1!$A$3:$A$12</c:f>
              <c:numCache>
                <c:formatCode>General</c:formatCode>
                <c:ptCount val="10"/>
                <c:pt idx="0">
                  <c:v>1</c:v>
                </c:pt>
                <c:pt idx="1">
                  <c:v>2.5</c:v>
                </c:pt>
                <c:pt idx="2">
                  <c:v>4</c:v>
                </c:pt>
                <c:pt idx="3">
                  <c:v>6.5</c:v>
                </c:pt>
                <c:pt idx="4">
                  <c:v>7</c:v>
                </c:pt>
                <c:pt idx="5">
                  <c:v>7.5</c:v>
                </c:pt>
                <c:pt idx="6">
                  <c:v>8</c:v>
                </c:pt>
                <c:pt idx="7">
                  <c:v>8.5</c:v>
                </c:pt>
                <c:pt idx="8">
                  <c:v>8.97</c:v>
                </c:pt>
                <c:pt idx="9">
                  <c:v>8.99</c:v>
                </c:pt>
              </c:numCache>
            </c:numRef>
          </c:yVal>
          <c:smooth val="1"/>
        </c:ser>
        <c:axId val="43184786"/>
        <c:axId val="40425627"/>
      </c:scatterChart>
      <c:valAx>
        <c:axId val="4318478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-x/R, -y/R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40425627"/>
        <c:crosses val="autoZero"/>
        <c:crossBetween val="midCat"/>
      </c:valAx>
      <c:valAx>
        <c:axId val="40425627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PR^2/EI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43184786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936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x/R (41)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xVal>
            <c:numRef>
              <c:f>Sheet2!$B$4:$B$13</c:f>
              <c:numCache>
                <c:formatCode>General</c:formatCode>
                <c:ptCount val="10"/>
                <c:pt idx="0">
                  <c:v>0.0235992</c:v>
                </c:pt>
                <c:pt idx="1">
                  <c:v>0.0572113</c:v>
                </c:pt>
                <c:pt idx="2">
                  <c:v>0.105397</c:v>
                </c:pt>
                <c:pt idx="3">
                  <c:v>0.173472</c:v>
                </c:pt>
                <c:pt idx="4">
                  <c:v>0.263095</c:v>
                </c:pt>
                <c:pt idx="5">
                  <c:v>0.36315</c:v>
                </c:pt>
                <c:pt idx="6">
                  <c:v>0.451826</c:v>
                </c:pt>
                <c:pt idx="7">
                  <c:v>0.51512</c:v>
                </c:pt>
                <c:pt idx="8">
                  <c:v>0.559977</c:v>
                </c:pt>
                <c:pt idx="9">
                  <c:v>0.595619</c:v>
                </c:pt>
              </c:numCache>
            </c:numRef>
          </c:xVal>
          <c:yVal>
            <c:numRef>
              <c:f>Sheet2!$A$4:$A$13</c:f>
              <c:numCache>
                <c:formatCode>General</c:formatCode>
                <c:ptCount val="10"/>
                <c:pt idx="0">
                  <c:v>0.897</c:v>
                </c:pt>
                <c:pt idx="1">
                  <c:v>1.794</c:v>
                </c:pt>
                <c:pt idx="2">
                  <c:v>2.691</c:v>
                </c:pt>
                <c:pt idx="3">
                  <c:v>3.588</c:v>
                </c:pt>
                <c:pt idx="4">
                  <c:v>4.485</c:v>
                </c:pt>
                <c:pt idx="5">
                  <c:v>5.382</c:v>
                </c:pt>
                <c:pt idx="6">
                  <c:v>6.279</c:v>
                </c:pt>
                <c:pt idx="7">
                  <c:v>7.176</c:v>
                </c:pt>
                <c:pt idx="8">
                  <c:v>8.073</c:v>
                </c:pt>
                <c:pt idx="9">
                  <c:v>8.97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Sheet2!$O$3</c:f>
              <c:strCache>
                <c:ptCount val="1"/>
                <c:pt idx="0">
                  <c:v>10phi(80)</c:v>
                </c:pt>
              </c:strCache>
            </c:strRef>
          </c:tx>
          <c:spPr>
            <a:solidFill>
              <a:srgbClr val="83caff"/>
            </a:solidFill>
            <a:ln w="28800">
              <a:solidFill>
                <a:srgbClr val="83caff"/>
              </a:solidFill>
              <a:round/>
            </a:ln>
          </c:spPr>
          <c:marker>
            <c:symbol val="triangle"/>
            <c:size val="8"/>
            <c:spPr>
              <a:solidFill>
                <a:srgbClr val="83caff"/>
              </a:solidFill>
            </c:spPr>
          </c:marker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xVal>
            <c:numRef>
              <c:f>Sheet2!$O$4:$O$13</c:f>
              <c:numCache>
                <c:formatCode>General</c:formatCode>
                <c:ptCount val="10"/>
                <c:pt idx="0">
                  <c:v>0.0611266612109056</c:v>
                </c:pt>
                <c:pt idx="1">
                  <c:v>0.137501809664547</c:v>
                </c:pt>
                <c:pt idx="2">
                  <c:v>0.260451446692715</c:v>
                </c:pt>
                <c:pt idx="3">
                  <c:v>0.419391897975824</c:v>
                </c:pt>
                <c:pt idx="4">
                  <c:v>0.621806738361258</c:v>
                </c:pt>
                <c:pt idx="5">
                  <c:v>0.837105426548084</c:v>
                </c:pt>
                <c:pt idx="6">
                  <c:v>1.01053742495032</c:v>
                </c:pt>
                <c:pt idx="7">
                  <c:v>1.10204233929382</c:v>
                </c:pt>
                <c:pt idx="8">
                  <c:v>1.07788349928332</c:v>
                </c:pt>
                <c:pt idx="9">
                  <c:v>0.676025458729978</c:v>
                </c:pt>
              </c:numCache>
            </c:numRef>
          </c:xVal>
          <c:yVal>
            <c:numRef>
              <c:f>Sheet2!$A$4:$A$13</c:f>
              <c:numCache>
                <c:formatCode>General</c:formatCode>
                <c:ptCount val="10"/>
                <c:pt idx="0">
                  <c:v>0.897</c:v>
                </c:pt>
                <c:pt idx="1">
                  <c:v>1.794</c:v>
                </c:pt>
                <c:pt idx="2">
                  <c:v>2.691</c:v>
                </c:pt>
                <c:pt idx="3">
                  <c:v>3.588</c:v>
                </c:pt>
                <c:pt idx="4">
                  <c:v>4.485</c:v>
                </c:pt>
                <c:pt idx="5">
                  <c:v>5.382</c:v>
                </c:pt>
                <c:pt idx="6">
                  <c:v>6.279</c:v>
                </c:pt>
                <c:pt idx="7">
                  <c:v>7.176</c:v>
                </c:pt>
                <c:pt idx="8">
                  <c:v>8.073</c:v>
                </c:pt>
                <c:pt idx="9">
                  <c:v>8.97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Sheet2!$J$3</c:f>
              <c:strCache>
                <c:ptCount val="1"/>
                <c:pt idx="0">
                  <c:v>10phi (40)</c:v>
                </c:pt>
              </c:strCache>
            </c:strRef>
          </c:tx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triangle"/>
            <c:size val="8"/>
            <c:spPr>
              <a:solidFill>
                <a:srgbClr val="7e0021"/>
              </a:solidFill>
            </c:spPr>
          </c:marker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xVal>
            <c:numRef>
              <c:f>Sheet2!$J$4:$J$13</c:f>
              <c:numCache>
                <c:formatCode>General</c:formatCode>
                <c:ptCount val="10"/>
                <c:pt idx="0">
                  <c:v>0.063</c:v>
                </c:pt>
                <c:pt idx="1">
                  <c:v>0.145</c:v>
                </c:pt>
                <c:pt idx="2">
                  <c:v>0.259</c:v>
                </c:pt>
                <c:pt idx="3">
                  <c:v>0.416</c:v>
                </c:pt>
                <c:pt idx="4">
                  <c:v>0.617</c:v>
                </c:pt>
                <c:pt idx="5">
                  <c:v>0.833</c:v>
                </c:pt>
                <c:pt idx="6">
                  <c:v>1.011</c:v>
                </c:pt>
                <c:pt idx="7">
                  <c:v>1.112</c:v>
                </c:pt>
                <c:pt idx="8">
                  <c:v>1.108</c:v>
                </c:pt>
                <c:pt idx="9">
                  <c:v>0.843</c:v>
                </c:pt>
              </c:numCache>
            </c:numRef>
          </c:xVal>
          <c:yVal>
            <c:numRef>
              <c:f>Sheet2!$A$4:$A$13</c:f>
              <c:numCache>
                <c:formatCode>General</c:formatCode>
                <c:ptCount val="10"/>
                <c:pt idx="0">
                  <c:v>0.897</c:v>
                </c:pt>
                <c:pt idx="1">
                  <c:v>1.794</c:v>
                </c:pt>
                <c:pt idx="2">
                  <c:v>2.691</c:v>
                </c:pt>
                <c:pt idx="3">
                  <c:v>3.588</c:v>
                </c:pt>
                <c:pt idx="4">
                  <c:v>4.485</c:v>
                </c:pt>
                <c:pt idx="5">
                  <c:v>5.382</c:v>
                </c:pt>
                <c:pt idx="6">
                  <c:v>6.279</c:v>
                </c:pt>
                <c:pt idx="7">
                  <c:v>7.176</c:v>
                </c:pt>
                <c:pt idx="8">
                  <c:v>8.073</c:v>
                </c:pt>
                <c:pt idx="9">
                  <c:v>8.97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Sheet2!$C$3</c:f>
              <c:strCache>
                <c:ptCount val="1"/>
                <c:pt idx="0">
                  <c:v>y/R (41)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xVal>
            <c:numRef>
              <c:f>Sheet2!$C$4:$C$13</c:f>
              <c:numCache>
                <c:formatCode>General</c:formatCode>
                <c:ptCount val="10"/>
                <c:pt idx="0">
                  <c:v>0.0309154</c:v>
                </c:pt>
                <c:pt idx="1">
                  <c:v>0.070814</c:v>
                </c:pt>
                <c:pt idx="2">
                  <c:v>0.124475</c:v>
                </c:pt>
                <c:pt idx="3">
                  <c:v>0.199713</c:v>
                </c:pt>
                <c:pt idx="4">
                  <c:v>0.306513</c:v>
                </c:pt>
                <c:pt idx="5">
                  <c:v>0.448343</c:v>
                </c:pt>
                <c:pt idx="6">
                  <c:v>0.611189</c:v>
                </c:pt>
                <c:pt idx="7">
                  <c:v>0.740883</c:v>
                </c:pt>
                <c:pt idx="8">
                  <c:v>0.925402</c:v>
                </c:pt>
                <c:pt idx="9">
                  <c:v>1.07974</c:v>
                </c:pt>
              </c:numCache>
            </c:numRef>
          </c:xVal>
          <c:yVal>
            <c:numRef>
              <c:f>Sheet2!$A$4:$A$13</c:f>
              <c:numCache>
                <c:formatCode>General</c:formatCode>
                <c:ptCount val="10"/>
                <c:pt idx="0">
                  <c:v>0.897</c:v>
                </c:pt>
                <c:pt idx="1">
                  <c:v>1.794</c:v>
                </c:pt>
                <c:pt idx="2">
                  <c:v>2.691</c:v>
                </c:pt>
                <c:pt idx="3">
                  <c:v>3.588</c:v>
                </c:pt>
                <c:pt idx="4">
                  <c:v>4.485</c:v>
                </c:pt>
                <c:pt idx="5">
                  <c:v>5.382</c:v>
                </c:pt>
                <c:pt idx="6">
                  <c:v>6.279</c:v>
                </c:pt>
                <c:pt idx="7">
                  <c:v>7.176</c:v>
                </c:pt>
                <c:pt idx="8">
                  <c:v>8.073</c:v>
                </c:pt>
                <c:pt idx="9">
                  <c:v>8.97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Sheet2!$D$3</c:f>
              <c:strCache>
                <c:ptCount val="1"/>
                <c:pt idx="0">
                  <c:v>x/R (81)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xVal>
            <c:numRef>
              <c:f>Sheet2!$D$4:$D$13</c:f>
              <c:numCache>
                <c:formatCode>General</c:formatCode>
                <c:ptCount val="10"/>
                <c:pt idx="0">
                  <c:v>0.0237348</c:v>
                </c:pt>
                <c:pt idx="1">
                  <c:v>0.0577539</c:v>
                </c:pt>
                <c:pt idx="2">
                  <c:v>0.106461</c:v>
                </c:pt>
                <c:pt idx="3">
                  <c:v>0.175578</c:v>
                </c:pt>
                <c:pt idx="4">
                  <c:v>0.26656</c:v>
                </c:pt>
                <c:pt idx="5">
                  <c:v>0.367666</c:v>
                </c:pt>
                <c:pt idx="6">
                  <c:v>0.456629</c:v>
                </c:pt>
                <c:pt idx="7">
                  <c:v>0.521252</c:v>
                </c:pt>
                <c:pt idx="8">
                  <c:v>0.564707</c:v>
                </c:pt>
                <c:pt idx="9">
                  <c:v>0.604336</c:v>
                </c:pt>
              </c:numCache>
            </c:numRef>
          </c:xVal>
          <c:yVal>
            <c:numRef>
              <c:f>Sheet2!$A$4:$A$13</c:f>
              <c:numCache>
                <c:formatCode>General</c:formatCode>
                <c:ptCount val="10"/>
                <c:pt idx="0">
                  <c:v>0.897</c:v>
                </c:pt>
                <c:pt idx="1">
                  <c:v>1.794</c:v>
                </c:pt>
                <c:pt idx="2">
                  <c:v>2.691</c:v>
                </c:pt>
                <c:pt idx="3">
                  <c:v>3.588</c:v>
                </c:pt>
                <c:pt idx="4">
                  <c:v>4.485</c:v>
                </c:pt>
                <c:pt idx="5">
                  <c:v>5.382</c:v>
                </c:pt>
                <c:pt idx="6">
                  <c:v>6.279</c:v>
                </c:pt>
                <c:pt idx="7">
                  <c:v>7.176</c:v>
                </c:pt>
                <c:pt idx="8">
                  <c:v>8.073</c:v>
                </c:pt>
                <c:pt idx="9">
                  <c:v>8.97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Sheet2!$E$3</c:f>
              <c:strCache>
                <c:ptCount val="1"/>
                <c:pt idx="0">
                  <c:v>y/R (81)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triangle"/>
            <c:size val="8"/>
            <c:spPr>
              <a:solidFill>
                <a:srgbClr val="579d1c"/>
              </a:solidFill>
            </c:spPr>
          </c:marker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xVal>
            <c:numRef>
              <c:f>Sheet2!$E$4:$E$13</c:f>
              <c:numCache>
                <c:formatCode>General</c:formatCode>
                <c:ptCount val="10"/>
                <c:pt idx="0">
                  <c:v>0.0320102</c:v>
                </c:pt>
                <c:pt idx="1">
                  <c:v>0.07142</c:v>
                </c:pt>
                <c:pt idx="2">
                  <c:v>0.128902</c:v>
                </c:pt>
                <c:pt idx="3">
                  <c:v>0.20683</c:v>
                </c:pt>
                <c:pt idx="4">
                  <c:v>0.317264</c:v>
                </c:pt>
                <c:pt idx="5">
                  <c:v>0.46314</c:v>
                </c:pt>
                <c:pt idx="6">
                  <c:v>0.629313</c:v>
                </c:pt>
                <c:pt idx="7">
                  <c:v>0.794117</c:v>
                </c:pt>
                <c:pt idx="8">
                  <c:v>0.947265</c:v>
                </c:pt>
                <c:pt idx="9">
                  <c:v>1.11239</c:v>
                </c:pt>
              </c:numCache>
            </c:numRef>
          </c:xVal>
          <c:yVal>
            <c:numRef>
              <c:f>Sheet2!$A$4:$A$13</c:f>
              <c:numCache>
                <c:formatCode>General</c:formatCode>
                <c:ptCount val="10"/>
                <c:pt idx="0">
                  <c:v>0.897</c:v>
                </c:pt>
                <c:pt idx="1">
                  <c:v>1.794</c:v>
                </c:pt>
                <c:pt idx="2">
                  <c:v>2.691</c:v>
                </c:pt>
                <c:pt idx="3">
                  <c:v>3.588</c:v>
                </c:pt>
                <c:pt idx="4">
                  <c:v>4.485</c:v>
                </c:pt>
                <c:pt idx="5">
                  <c:v>5.382</c:v>
                </c:pt>
                <c:pt idx="6">
                  <c:v>6.279</c:v>
                </c:pt>
                <c:pt idx="7">
                  <c:v>7.176</c:v>
                </c:pt>
                <c:pt idx="8">
                  <c:v>8.073</c:v>
                </c:pt>
                <c:pt idx="9">
                  <c:v>8.97</c:v>
                </c:pt>
              </c:numCache>
            </c:numRef>
          </c:yVal>
          <c:smooth val="1"/>
        </c:ser>
        <c:axId val="14650357"/>
        <c:axId val="91587599"/>
      </c:scatterChart>
      <c:valAx>
        <c:axId val="14650357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91587599"/>
        <c:crosses val="autoZero"/>
        <c:crossBetween val="midCat"/>
      </c:valAx>
      <c:valAx>
        <c:axId val="91587599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14650357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936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475560</xdr:colOff>
      <xdr:row>15</xdr:row>
      <xdr:rowOff>148680</xdr:rowOff>
    </xdr:from>
    <xdr:to>
      <xdr:col>13</xdr:col>
      <xdr:colOff>262080</xdr:colOff>
      <xdr:row>37</xdr:row>
      <xdr:rowOff>48240</xdr:rowOff>
    </xdr:to>
    <xdr:graphicFrame>
      <xdr:nvGraphicFramePr>
        <xdr:cNvPr id="0" name=""/>
        <xdr:cNvGraphicFramePr/>
      </xdr:nvGraphicFramePr>
      <xdr:xfrm>
        <a:off x="4750200" y="3414960"/>
        <a:ext cx="6503400" cy="3649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766800</xdr:colOff>
      <xdr:row>14</xdr:row>
      <xdr:rowOff>20520</xdr:rowOff>
    </xdr:from>
    <xdr:to>
      <xdr:col>8</xdr:col>
      <xdr:colOff>532080</xdr:colOff>
      <xdr:row>41</xdr:row>
      <xdr:rowOff>113400</xdr:rowOff>
    </xdr:to>
    <xdr:graphicFrame>
      <xdr:nvGraphicFramePr>
        <xdr:cNvPr id="1" name=""/>
        <xdr:cNvGraphicFramePr/>
      </xdr:nvGraphicFramePr>
      <xdr:xfrm>
        <a:off x="766800" y="2631600"/>
        <a:ext cx="7021800" cy="4482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54"/>
  <sheetViews>
    <sheetView showFormulas="false" showGridLines="true" showRowColHeaders="true" showZeros="true" rightToLeft="false" tabSelected="false" showOutlineSymbols="true" defaultGridColor="true" view="normal" topLeftCell="A25" colorId="64" zoomScale="100" zoomScaleNormal="100" zoomScalePageLayoutView="100" workbookViewId="0">
      <selection pane="topLeft" activeCell="A11" activeCellId="0" sqref="A11"/>
    </sheetView>
  </sheetViews>
  <sheetFormatPr defaultColWidth="11.55078125" defaultRowHeight="12.8" zeroHeight="false" outlineLevelRow="0" outlineLevelCol="0"/>
  <cols>
    <col collapsed="false" customWidth="true" hidden="false" outlineLevel="0" max="6" min="5" style="0" width="14.43"/>
    <col collapsed="false" customWidth="true" hidden="false" outlineLevel="0" max="14" min="14" style="0" width="13.97"/>
  </cols>
  <sheetData>
    <row r="1" customFormat="false" ht="12.8" hidden="false" customHeight="false" outlineLevel="0" collapsed="false">
      <c r="K1" s="1" t="s">
        <v>0</v>
      </c>
      <c r="L1" s="1"/>
    </row>
    <row r="2" customFormat="false" ht="32.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0" t="s">
        <v>11</v>
      </c>
      <c r="L2" s="0" t="s">
        <v>12</v>
      </c>
      <c r="M2" s="0" t="s">
        <v>13</v>
      </c>
      <c r="N2" s="0" t="s">
        <v>14</v>
      </c>
      <c r="O2" s="0" t="s">
        <v>15</v>
      </c>
    </row>
    <row r="3" customFormat="false" ht="17.35" hidden="false" customHeight="false" outlineLevel="0" collapsed="false">
      <c r="A3" s="2" t="n">
        <v>1</v>
      </c>
      <c r="B3" s="2" t="n">
        <v>100</v>
      </c>
      <c r="C3" s="2"/>
      <c r="D3" s="2" t="n">
        <v>10</v>
      </c>
      <c r="E3" s="2" t="n">
        <v>-2.82287</v>
      </c>
      <c r="F3" s="2" t="n">
        <v>-3.66892</v>
      </c>
      <c r="G3" s="2" t="n">
        <f aca="false">-E3/100</f>
        <v>0.0282287</v>
      </c>
      <c r="H3" s="2" t="n">
        <f aca="false">-F3/100</f>
        <v>0.0366892</v>
      </c>
      <c r="I3" s="2" t="n">
        <v>0.00794604</v>
      </c>
      <c r="J3" s="2" t="n">
        <v>-0.0138994</v>
      </c>
      <c r="K3" s="0" t="n">
        <v>0.99995</v>
      </c>
      <c r="L3" s="0" t="n">
        <v>-0.00986377</v>
      </c>
      <c r="M3" s="0" t="n">
        <f aca="false">SQRT(K3^2+L3^2)</f>
        <v>0.999998648228393</v>
      </c>
      <c r="N3" s="0" t="n">
        <f aca="false">ACOS(K3/M3)</f>
        <v>0.00986394328877216</v>
      </c>
      <c r="O3" s="0" t="n">
        <f aca="false">10*N3</f>
        <v>0.0986394328877216</v>
      </c>
    </row>
    <row r="4" customFormat="false" ht="17.35" hidden="false" customHeight="false" outlineLevel="0" collapsed="false">
      <c r="A4" s="2" t="n">
        <v>2.5</v>
      </c>
      <c r="B4" s="2" t="n">
        <v>100</v>
      </c>
      <c r="C4" s="2"/>
      <c r="D4" s="2" t="n">
        <v>10</v>
      </c>
      <c r="E4" s="2" t="n">
        <v>-9.78556</v>
      </c>
      <c r="F4" s="2" t="n">
        <v>-11.7237</v>
      </c>
      <c r="G4" s="2" t="n">
        <f aca="false">-E4/100</f>
        <v>0.0978556</v>
      </c>
      <c r="H4" s="2" t="n">
        <f aca="false">-F4/100</f>
        <v>0.117237</v>
      </c>
      <c r="I4" s="2" t="n">
        <v>0.00433018</v>
      </c>
      <c r="J4" s="2" t="n">
        <v>-0.0421319</v>
      </c>
      <c r="K4" s="0" t="n">
        <v>0.999515</v>
      </c>
      <c r="L4" s="0" t="n">
        <v>-0.0310151</v>
      </c>
      <c r="M4" s="0" t="n">
        <f aca="false">SQRT(K4^2+L4^2)</f>
        <v>0.999996085818844</v>
      </c>
      <c r="N4" s="0" t="n">
        <f aca="false">ACOS(K4/M4)</f>
        <v>0.0310201960370326</v>
      </c>
      <c r="O4" s="0" t="n">
        <f aca="false">10*N4</f>
        <v>0.310201960370326</v>
      </c>
    </row>
    <row r="5" customFormat="false" ht="17.35" hidden="false" customHeight="false" outlineLevel="0" collapsed="false">
      <c r="A5" s="2" t="n">
        <v>4</v>
      </c>
      <c r="B5" s="2" t="n">
        <v>100</v>
      </c>
      <c r="C5" s="2"/>
      <c r="D5" s="2" t="n">
        <v>10</v>
      </c>
      <c r="E5" s="2" t="n">
        <v>-22.0279</v>
      </c>
      <c r="F5" s="2" t="n">
        <v>-25.6947</v>
      </c>
      <c r="G5" s="2" t="n">
        <f aca="false">-E5/100</f>
        <v>0.220279</v>
      </c>
      <c r="H5" s="2" t="n">
        <f aca="false">-F5/100</f>
        <v>0.256947</v>
      </c>
      <c r="I5" s="2" t="n">
        <v>0.000140456</v>
      </c>
      <c r="J5" s="2" t="n">
        <v>-0.0837582</v>
      </c>
      <c r="K5" s="0" t="n">
        <v>0.997954</v>
      </c>
      <c r="L5" s="0" t="n">
        <v>-0.0638806</v>
      </c>
      <c r="M5" s="0" t="n">
        <f aca="false">SQRT(K5^2+L5^2)</f>
        <v>0.999996458579909</v>
      </c>
      <c r="N5" s="0" t="n">
        <f aca="false">ACOS(K5/M5)</f>
        <v>0.0639243532598022</v>
      </c>
      <c r="O5" s="0" t="n">
        <f aca="false">10*N5</f>
        <v>0.639243532598022</v>
      </c>
    </row>
    <row r="6" customFormat="false" ht="17.35" hidden="false" customHeight="false" outlineLevel="0" collapsed="false">
      <c r="A6" s="2" t="n">
        <v>6.5</v>
      </c>
      <c r="B6" s="2" t="n">
        <v>100</v>
      </c>
      <c r="C6" s="2"/>
      <c r="D6" s="2" t="n">
        <v>10</v>
      </c>
      <c r="E6" s="2" t="n">
        <v>-47.8721</v>
      </c>
      <c r="F6" s="2" t="n">
        <v>-67.7067</v>
      </c>
      <c r="G6" s="2" t="n">
        <f aca="false">-E6/100</f>
        <v>0.478721</v>
      </c>
      <c r="H6" s="2" t="n">
        <f aca="false">-F6/100</f>
        <v>0.677067</v>
      </c>
      <c r="I6" s="2"/>
      <c r="J6" s="2"/>
      <c r="K6" s="0" t="n">
        <v>0.992053</v>
      </c>
      <c r="L6" s="0" t="n">
        <v>-0.125845</v>
      </c>
      <c r="M6" s="0" t="n">
        <f aca="false">SQRT(K6^2+L6^2)</f>
        <v>1.00000305941232</v>
      </c>
      <c r="N6" s="0" t="n">
        <f aca="false">ACOS(K6/M6)</f>
        <v>0.126179168819157</v>
      </c>
      <c r="O6" s="0" t="n">
        <f aca="false">10*N6</f>
        <v>1.26179168819157</v>
      </c>
    </row>
    <row r="7" customFormat="false" ht="17.35" hidden="false" customHeight="false" outlineLevel="0" collapsed="false">
      <c r="A7" s="2" t="n">
        <v>7</v>
      </c>
      <c r="B7" s="2" t="n">
        <v>100</v>
      </c>
      <c r="C7" s="2"/>
      <c r="D7" s="2" t="n">
        <v>10</v>
      </c>
      <c r="E7" s="2" t="n">
        <v>-51.3459</v>
      </c>
      <c r="F7" s="2" t="n">
        <v>-76.8614</v>
      </c>
      <c r="G7" s="2" t="n">
        <f aca="false">-E7/100</f>
        <v>0.513459</v>
      </c>
      <c r="H7" s="2" t="n">
        <f aca="false">-F7/100</f>
        <v>0.768614</v>
      </c>
      <c r="I7" s="2" t="n">
        <v>0.0098646</v>
      </c>
      <c r="J7" s="2" t="n">
        <v>-0.171809</v>
      </c>
      <c r="K7" s="0" t="n">
        <v>0.991173</v>
      </c>
      <c r="L7" s="0" t="n">
        <v>-0.132615</v>
      </c>
      <c r="M7" s="0" t="n">
        <f aca="false">SQRT(K7^2+L7^2)</f>
        <v>1.00000532706281</v>
      </c>
      <c r="N7" s="0" t="n">
        <f aca="false">ACOS(K7/M7)</f>
        <v>0.133006107006034</v>
      </c>
      <c r="O7" s="0" t="n">
        <f aca="false">10*N7</f>
        <v>1.33006107006034</v>
      </c>
    </row>
    <row r="8" customFormat="false" ht="17.35" hidden="false" customHeight="false" outlineLevel="0" collapsed="false">
      <c r="A8" s="2" t="n">
        <v>7.5</v>
      </c>
      <c r="B8" s="2" t="n">
        <v>100</v>
      </c>
      <c r="C8" s="2"/>
      <c r="D8" s="2" t="n">
        <v>10</v>
      </c>
      <c r="E8" s="2" t="n">
        <v>-54.1397</v>
      </c>
      <c r="F8" s="2" t="n">
        <v>-86.3236</v>
      </c>
      <c r="G8" s="2" t="n">
        <f aca="false">-E8/100</f>
        <v>0.541397</v>
      </c>
      <c r="H8" s="2" t="n">
        <f aca="false">-F8/100</f>
        <v>0.863236</v>
      </c>
      <c r="I8" s="2" t="n">
        <v>0.0111136</v>
      </c>
      <c r="J8" s="2" t="n">
        <v>-0.178024</v>
      </c>
      <c r="K8" s="0" t="n">
        <v>0.990669</v>
      </c>
      <c r="L8" s="0" t="n">
        <v>-0.136349</v>
      </c>
      <c r="M8" s="0" t="n">
        <f aca="false">SQRT(K8^2+L8^2)</f>
        <v>1.00000805864853</v>
      </c>
      <c r="N8" s="0" t="n">
        <f aca="false">ACOS(K8/M8)</f>
        <v>0.136773943427887</v>
      </c>
      <c r="O8" s="0" t="n">
        <f aca="false">10*N8</f>
        <v>1.36773943427887</v>
      </c>
    </row>
    <row r="9" customFormat="false" ht="17.35" hidden="false" customHeight="false" outlineLevel="0" collapsed="false">
      <c r="A9" s="2" t="n">
        <v>8</v>
      </c>
      <c r="B9" s="2" t="n">
        <v>100</v>
      </c>
      <c r="C9" s="2"/>
      <c r="D9" s="2" t="n">
        <v>10</v>
      </c>
      <c r="E9" s="2" t="n">
        <v>-56.2545</v>
      </c>
      <c r="F9" s="2" t="n">
        <v>-93.9162</v>
      </c>
      <c r="G9" s="2" t="n">
        <f aca="false">-E9/100</f>
        <v>0.562545</v>
      </c>
      <c r="H9" s="2" t="n">
        <f aca="false">-F9/100</f>
        <v>0.939162</v>
      </c>
      <c r="I9" s="2" t="n">
        <v>0.01219</v>
      </c>
      <c r="J9" s="2" t="n">
        <v>-0.180161</v>
      </c>
      <c r="K9" s="0" t="n">
        <v>0.990669</v>
      </c>
      <c r="L9" s="0" t="n">
        <v>-0.136371</v>
      </c>
      <c r="M9" s="0" t="n">
        <f aca="false">SQRT(K9^2+L9^2)</f>
        <v>1.00001105853985</v>
      </c>
      <c r="N9" s="0" t="n">
        <f aca="false">ACOS(K9/M9)</f>
        <v>0.136795737729241</v>
      </c>
      <c r="O9" s="0" t="n">
        <f aca="false">10*N9</f>
        <v>1.36795737729241</v>
      </c>
    </row>
    <row r="10" customFormat="false" ht="17.35" hidden="false" customHeight="false" outlineLevel="0" collapsed="false">
      <c r="A10" s="2" t="n">
        <v>8.5</v>
      </c>
      <c r="B10" s="2" t="n">
        <v>100</v>
      </c>
      <c r="C10" s="2"/>
      <c r="D10" s="2" t="n">
        <v>10</v>
      </c>
      <c r="E10" s="2" t="n">
        <v>-57.9754</v>
      </c>
      <c r="F10" s="2" t="n">
        <v>-101.08</v>
      </c>
      <c r="G10" s="2" t="n">
        <f aca="false">-E10/100</f>
        <v>0.579754</v>
      </c>
      <c r="H10" s="2" t="n">
        <f aca="false">-F10/100</f>
        <v>1.0108</v>
      </c>
      <c r="I10" s="2" t="n">
        <v>0.0110583</v>
      </c>
      <c r="J10" s="2" t="n">
        <v>-0.176219</v>
      </c>
      <c r="K10" s="0" t="n">
        <v>0.991426</v>
      </c>
      <c r="L10" s="0" t="n">
        <v>-0.130781</v>
      </c>
      <c r="M10" s="0" t="n">
        <f aca="false">SQRT(K10^2+L10^2)</f>
        <v>1.00001459161204</v>
      </c>
      <c r="N10" s="0" t="n">
        <f aca="false">ACOS(K10/M10)</f>
        <v>0.131154779947597</v>
      </c>
      <c r="O10" s="0" t="n">
        <f aca="false">10*N10</f>
        <v>1.31154779947597</v>
      </c>
    </row>
    <row r="11" customFormat="false" ht="17.35" hidden="false" customHeight="false" outlineLevel="0" collapsed="false">
      <c r="A11" s="2" t="n">
        <v>8.97</v>
      </c>
      <c r="B11" s="2" t="n">
        <v>100</v>
      </c>
      <c r="C11" s="2"/>
      <c r="D11" s="2" t="n">
        <v>10</v>
      </c>
      <c r="E11" s="2" t="n">
        <v>-59.7213</v>
      </c>
      <c r="F11" s="2" t="n">
        <v>-109.729</v>
      </c>
      <c r="G11" s="2" t="n">
        <f aca="false">-E11/100</f>
        <v>0.597213</v>
      </c>
      <c r="H11" s="2" t="n">
        <f aca="false">-F11/100</f>
        <v>1.09729</v>
      </c>
      <c r="I11" s="2" t="n">
        <v>0.0134808</v>
      </c>
      <c r="J11" s="2" t="n">
        <v>-0.159207</v>
      </c>
      <c r="K11" s="0" t="n">
        <v>0.993612</v>
      </c>
      <c r="L11" s="0" t="n">
        <f aca="false">-0.113019 -0.000000000000214171</f>
        <v>-0.113019000000214</v>
      </c>
      <c r="M11" s="0" t="n">
        <f aca="false">SQRT(K11^2+L11^2)</f>
        <v>1.00001905027107</v>
      </c>
      <c r="N11" s="0" t="n">
        <f aca="false">ACOS(K11/M11)</f>
        <v>0.113258830870368</v>
      </c>
      <c r="O11" s="0" t="n">
        <f aca="false">10*N11</f>
        <v>1.13258830870368</v>
      </c>
    </row>
    <row r="12" customFormat="false" ht="17.35" hidden="false" customHeight="false" outlineLevel="0" collapsed="false">
      <c r="A12" s="2" t="n">
        <v>8.99</v>
      </c>
      <c r="B12" s="2" t="n">
        <v>100</v>
      </c>
      <c r="C12" s="2"/>
      <c r="D12" s="2" t="n">
        <v>10</v>
      </c>
      <c r="E12" s="2" t="n">
        <v>-59.811</v>
      </c>
      <c r="F12" s="2" t="n">
        <v>-110.113</v>
      </c>
      <c r="G12" s="2" t="n">
        <f aca="false">-E12/100</f>
        <v>0.59811</v>
      </c>
      <c r="H12" s="2" t="n">
        <f aca="false">-F12/100</f>
        <v>1.10113</v>
      </c>
      <c r="I12" s="2" t="n">
        <v>0.0134803</v>
      </c>
      <c r="J12" s="2" t="n">
        <v>-0.157705</v>
      </c>
      <c r="K12" s="0" t="n">
        <v>0.993781</v>
      </c>
      <c r="L12" s="0" t="n">
        <v>-0.111526</v>
      </c>
      <c r="M12" s="0" t="n">
        <f aca="false">SQRT(K12^2+L12^2)</f>
        <v>1.00001936213105</v>
      </c>
      <c r="N12" s="0" t="n">
        <f aca="false">ACOS(K12/M12)</f>
        <v>0.11175632509322</v>
      </c>
      <c r="O12" s="0" t="n">
        <f aca="false">10*N12</f>
        <v>1.1175632509322</v>
      </c>
    </row>
    <row r="17" customFormat="false" ht="17.35" hidden="false" customHeight="false" outlineLevel="0" collapsed="false">
      <c r="B17" s="3" t="s">
        <v>16</v>
      </c>
      <c r="C17" s="3" t="n">
        <v>10000</v>
      </c>
    </row>
    <row r="18" customFormat="false" ht="17.35" hidden="false" customHeight="false" outlineLevel="0" collapsed="false">
      <c r="B18" s="3" t="s">
        <v>17</v>
      </c>
      <c r="C18" s="3" t="n">
        <v>100</v>
      </c>
    </row>
    <row r="19" customFormat="false" ht="17.35" hidden="false" customHeight="false" outlineLevel="0" collapsed="false">
      <c r="B19" s="3" t="s">
        <v>18</v>
      </c>
      <c r="C19" s="3" t="n">
        <v>1</v>
      </c>
    </row>
    <row r="39" customFormat="false" ht="12.8" hidden="false" customHeight="false" outlineLevel="0" collapsed="false">
      <c r="K39" s="1" t="s">
        <v>0</v>
      </c>
      <c r="L39" s="1"/>
    </row>
    <row r="40" customFormat="false" ht="32.5" hidden="false" customHeight="false" outlineLevel="0" collapsed="false">
      <c r="A40" s="2" t="s">
        <v>1</v>
      </c>
      <c r="B40" s="2" t="s">
        <v>2</v>
      </c>
      <c r="C40" s="2" t="s">
        <v>3</v>
      </c>
      <c r="D40" s="2" t="s">
        <v>4</v>
      </c>
      <c r="E40" s="2" t="s">
        <v>5</v>
      </c>
      <c r="F40" s="2" t="s">
        <v>6</v>
      </c>
      <c r="G40" s="2" t="s">
        <v>7</v>
      </c>
      <c r="H40" s="2" t="s">
        <v>8</v>
      </c>
      <c r="I40" s="2" t="s">
        <v>9</v>
      </c>
      <c r="J40" s="2" t="s">
        <v>10</v>
      </c>
      <c r="K40" s="0" t="s">
        <v>11</v>
      </c>
      <c r="L40" s="0" t="s">
        <v>12</v>
      </c>
      <c r="M40" s="0" t="s">
        <v>13</v>
      </c>
      <c r="N40" s="0" t="s">
        <v>14</v>
      </c>
      <c r="O40" s="0" t="s">
        <v>15</v>
      </c>
    </row>
    <row r="41" customFormat="false" ht="17.35" hidden="false" customHeight="false" outlineLevel="0" collapsed="false">
      <c r="A41" s="2" t="n">
        <v>1</v>
      </c>
      <c r="B41" s="2" t="n">
        <v>100</v>
      </c>
      <c r="C41" s="2"/>
      <c r="D41" s="2" t="n">
        <v>10</v>
      </c>
      <c r="E41" s="2" t="n">
        <v>-2.82287</v>
      </c>
      <c r="F41" s="2" t="n">
        <v>-3.66892</v>
      </c>
      <c r="G41" s="2" t="n">
        <f aca="false">-E41/100</f>
        <v>0.0282287</v>
      </c>
      <c r="H41" s="2" t="n">
        <f aca="false">-F41/100</f>
        <v>0.0366892</v>
      </c>
      <c r="I41" s="2" t="n">
        <v>0.00794604</v>
      </c>
      <c r="J41" s="2" t="n">
        <v>-0.0138994</v>
      </c>
      <c r="K41" s="0" t="n">
        <v>0.99995</v>
      </c>
      <c r="L41" s="0" t="n">
        <v>-0.00986377</v>
      </c>
      <c r="M41" s="0" t="n">
        <f aca="false">SQRT(K41^2+L41^2)</f>
        <v>0.999998648228393</v>
      </c>
      <c r="N41" s="0" t="n">
        <f aca="false">ACOS(K41/M41)</f>
        <v>0.00986394328877216</v>
      </c>
      <c r="O41" s="0" t="n">
        <f aca="false">10*N41</f>
        <v>0.0986394328877216</v>
      </c>
    </row>
    <row r="42" customFormat="false" ht="17.35" hidden="false" customHeight="false" outlineLevel="0" collapsed="false">
      <c r="A42" s="2" t="n">
        <v>2.5</v>
      </c>
      <c r="B42" s="2" t="n">
        <v>100</v>
      </c>
      <c r="C42" s="2"/>
      <c r="D42" s="2" t="n">
        <v>10</v>
      </c>
      <c r="E42" s="2" t="n">
        <v>-9.78556</v>
      </c>
      <c r="F42" s="2" t="n">
        <v>-11.7237</v>
      </c>
      <c r="G42" s="2" t="n">
        <f aca="false">-E42/100</f>
        <v>0.0978556</v>
      </c>
      <c r="H42" s="2" t="n">
        <f aca="false">-F42/100</f>
        <v>0.117237</v>
      </c>
      <c r="I42" s="2" t="n">
        <v>0.00433018</v>
      </c>
      <c r="J42" s="2" t="n">
        <v>-0.0421319</v>
      </c>
      <c r="K42" s="0" t="n">
        <v>0.999515</v>
      </c>
      <c r="L42" s="0" t="n">
        <v>-0.0310151</v>
      </c>
      <c r="M42" s="0" t="n">
        <f aca="false">SQRT(K42^2+L42^2)</f>
        <v>0.999996085818844</v>
      </c>
      <c r="N42" s="0" t="n">
        <f aca="false">ACOS(K42/M42)</f>
        <v>0.0310201960370326</v>
      </c>
      <c r="O42" s="0" t="n">
        <f aca="false">10*N42</f>
        <v>0.310201960370326</v>
      </c>
    </row>
    <row r="43" customFormat="false" ht="17.35" hidden="false" customHeight="false" outlineLevel="0" collapsed="false">
      <c r="A43" s="2" t="n">
        <v>4</v>
      </c>
      <c r="B43" s="2" t="n">
        <v>100</v>
      </c>
      <c r="C43" s="2"/>
      <c r="D43" s="2" t="n">
        <v>10</v>
      </c>
      <c r="E43" s="2" t="n">
        <v>-22.0279</v>
      </c>
      <c r="F43" s="2" t="n">
        <v>-25.6947</v>
      </c>
      <c r="G43" s="2" t="n">
        <f aca="false">-E43/100</f>
        <v>0.220279</v>
      </c>
      <c r="H43" s="2" t="n">
        <f aca="false">-F43/100</f>
        <v>0.256947</v>
      </c>
      <c r="I43" s="2" t="n">
        <v>0.000140456</v>
      </c>
      <c r="J43" s="2" t="n">
        <v>-0.0837582</v>
      </c>
      <c r="K43" s="0" t="n">
        <v>0.997954</v>
      </c>
      <c r="L43" s="0" t="n">
        <v>-0.0638806</v>
      </c>
      <c r="M43" s="0" t="n">
        <f aca="false">SQRT(K43^2+L43^2)</f>
        <v>0.999996458579909</v>
      </c>
      <c r="N43" s="0" t="n">
        <f aca="false">ACOS(K43/M43)</f>
        <v>0.0639243532598022</v>
      </c>
      <c r="O43" s="0" t="n">
        <f aca="false">10*N43</f>
        <v>0.639243532598022</v>
      </c>
    </row>
    <row r="44" customFormat="false" ht="17.35" hidden="false" customHeight="false" outlineLevel="0" collapsed="false">
      <c r="A44" s="2" t="n">
        <v>4.5</v>
      </c>
      <c r="B44" s="2" t="n">
        <v>100</v>
      </c>
      <c r="C44" s="2"/>
      <c r="D44" s="2" t="n">
        <v>10</v>
      </c>
      <c r="E44" s="2" t="n">
        <v>-27.3858</v>
      </c>
      <c r="F44" s="2" t="n">
        <v>-32.4267</v>
      </c>
      <c r="G44" s="2" t="n">
        <f aca="false">-E44/100</f>
        <v>0.273858</v>
      </c>
      <c r="H44" s="2" t="n">
        <f aca="false">-F44/100</f>
        <v>0.324267</v>
      </c>
      <c r="I44" s="2"/>
      <c r="J44" s="2"/>
      <c r="K44" s="0" t="n">
        <v>0.996995</v>
      </c>
      <c r="L44" s="0" t="n">
        <v>-0.077427</v>
      </c>
      <c r="M44" s="0" t="n">
        <f aca="false">SQRT(K44^2+L44^2)</f>
        <v>0.999996985172455</v>
      </c>
      <c r="N44" s="0" t="n">
        <f aca="false">ACOS(K44/M44)</f>
        <v>0.0775048052883462</v>
      </c>
      <c r="O44" s="0" t="n">
        <f aca="false">10*N44</f>
        <v>0.775048052883461</v>
      </c>
    </row>
    <row r="45" customFormat="false" ht="17.35" hidden="false" customHeight="false" outlineLevel="0" collapsed="false">
      <c r="A45" s="2" t="n">
        <v>5</v>
      </c>
      <c r="B45" s="2" t="n">
        <v>100</v>
      </c>
      <c r="C45" s="2"/>
      <c r="D45" s="2" t="n">
        <v>10</v>
      </c>
      <c r="E45" s="2" t="n">
        <v>-33.0394</v>
      </c>
      <c r="F45" s="2" t="n">
        <v>-40.2866</v>
      </c>
      <c r="G45" s="2" t="n">
        <f aca="false">-E45/100</f>
        <v>0.330394</v>
      </c>
      <c r="H45" s="2" t="n">
        <f aca="false">-F45/100</f>
        <v>0.402866</v>
      </c>
      <c r="I45" s="2"/>
      <c r="J45" s="2"/>
      <c r="K45" s="0" t="n">
        <v>0.994511</v>
      </c>
      <c r="L45" s="0" t="n">
        <v>-0.104619</v>
      </c>
      <c r="M45" s="0" t="n">
        <f aca="false">SQRT(K45^2+L45^2)</f>
        <v>0.999998632140064</v>
      </c>
      <c r="N45" s="0" t="n">
        <f aca="false">ACOS(K45/M45)</f>
        <v>0.104810934883264</v>
      </c>
      <c r="O45" s="0" t="n">
        <f aca="false">10*N45</f>
        <v>1.04810934883264</v>
      </c>
    </row>
    <row r="46" customFormat="false" ht="17.35" hidden="false" customHeight="false" outlineLevel="0" collapsed="false">
      <c r="A46" s="2" t="n">
        <v>5.5</v>
      </c>
      <c r="B46" s="2" t="n">
        <v>100</v>
      </c>
      <c r="C46" s="2"/>
      <c r="D46" s="2" t="n">
        <v>10</v>
      </c>
      <c r="E46" s="2" t="n">
        <v>-38.5736</v>
      </c>
      <c r="F46" s="2" t="n">
        <v>-49.0511</v>
      </c>
      <c r="G46" s="2" t="n">
        <f aca="false">-E46/100</f>
        <v>0.385736</v>
      </c>
      <c r="H46" s="2" t="n">
        <f aca="false">-F46/100</f>
        <v>0.490511</v>
      </c>
      <c r="I46" s="2" t="n">
        <v>0.00526763</v>
      </c>
      <c r="J46" s="2" t="n">
        <v>-0.134692</v>
      </c>
      <c r="K46" s="0" t="n">
        <v>0.994506</v>
      </c>
      <c r="L46" s="0" t="n">
        <v>-0.104672</v>
      </c>
      <c r="M46" s="0" t="n">
        <f aca="false">SQRT(K46^2+L46^2)</f>
        <v>0.999999205809685</v>
      </c>
      <c r="N46" s="0" t="n">
        <f aca="false">ACOS(K46/M46)</f>
        <v>0.104864167176379</v>
      </c>
      <c r="O46" s="0" t="n">
        <f aca="false">10*N46</f>
        <v>1.04864167176379</v>
      </c>
    </row>
    <row r="47" customFormat="false" ht="17.35" hidden="false" customHeight="false" outlineLevel="0" collapsed="false">
      <c r="A47" s="2" t="n">
        <v>6</v>
      </c>
      <c r="B47" s="2" t="n">
        <v>100</v>
      </c>
      <c r="C47" s="2"/>
      <c r="D47" s="2" t="n">
        <v>10</v>
      </c>
      <c r="E47" s="2" t="n">
        <v>-43.5965</v>
      </c>
      <c r="F47" s="2" t="n">
        <v>-58.3299</v>
      </c>
      <c r="G47" s="2" t="n">
        <f aca="false">-E47/100</f>
        <v>0.435965</v>
      </c>
      <c r="H47" s="2" t="n">
        <f aca="false">-F47/100</f>
        <v>0.583299</v>
      </c>
      <c r="I47" s="2"/>
      <c r="J47" s="2"/>
      <c r="K47" s="0" t="n">
        <v>0.993204</v>
      </c>
      <c r="L47" s="0" t="n">
        <v>-0.116394</v>
      </c>
      <c r="M47" s="0" t="n">
        <f aca="false">SQRT(K47^2+L47^2)</f>
        <v>1.00000087442562</v>
      </c>
      <c r="N47" s="0" t="n">
        <f aca="false">ACOS(K47/M47)</f>
        <v>0.116658321936123</v>
      </c>
      <c r="O47" s="0" t="n">
        <f aca="false">10*N47</f>
        <v>1.16658321936123</v>
      </c>
    </row>
    <row r="48" customFormat="false" ht="17.35" hidden="false" customHeight="false" outlineLevel="0" collapsed="false">
      <c r="A48" s="2" t="n">
        <v>6.5</v>
      </c>
      <c r="B48" s="2" t="n">
        <v>100</v>
      </c>
      <c r="C48" s="2"/>
      <c r="D48" s="2" t="n">
        <v>10</v>
      </c>
      <c r="E48" s="2" t="n">
        <v>-47.8721</v>
      </c>
      <c r="F48" s="2" t="n">
        <v>-67.7067</v>
      </c>
      <c r="G48" s="2" t="n">
        <f aca="false">-E48/100</f>
        <v>0.478721</v>
      </c>
      <c r="H48" s="2" t="n">
        <f aca="false">-F48/100</f>
        <v>0.677067</v>
      </c>
      <c r="I48" s="2"/>
      <c r="J48" s="2"/>
      <c r="K48" s="0" t="n">
        <v>0.992053</v>
      </c>
      <c r="L48" s="0" t="n">
        <v>-0.125845</v>
      </c>
      <c r="M48" s="0" t="n">
        <f aca="false">SQRT(K48^2+L48^2)</f>
        <v>1.00000305941232</v>
      </c>
      <c r="N48" s="0" t="n">
        <f aca="false">ACOS(K48/M48)</f>
        <v>0.126179168819157</v>
      </c>
      <c r="O48" s="0" t="n">
        <f aca="false">10*N48</f>
        <v>1.26179168819157</v>
      </c>
    </row>
    <row r="49" customFormat="false" ht="17.35" hidden="false" customHeight="false" outlineLevel="0" collapsed="false">
      <c r="A49" s="2" t="n">
        <v>7</v>
      </c>
      <c r="B49" s="2" t="n">
        <v>100</v>
      </c>
      <c r="C49" s="2"/>
      <c r="D49" s="2" t="n">
        <v>10</v>
      </c>
      <c r="E49" s="2" t="n">
        <v>-51.3459</v>
      </c>
      <c r="F49" s="2" t="n">
        <v>-76.8614</v>
      </c>
      <c r="G49" s="2" t="n">
        <f aca="false">-E49/100</f>
        <v>0.513459</v>
      </c>
      <c r="H49" s="2" t="n">
        <f aca="false">-F49/100</f>
        <v>0.768614</v>
      </c>
      <c r="I49" s="2" t="n">
        <v>0.0098646</v>
      </c>
      <c r="J49" s="2" t="n">
        <v>-0.171809</v>
      </c>
      <c r="K49" s="0" t="n">
        <v>0.991173</v>
      </c>
      <c r="L49" s="0" t="n">
        <v>-0.132615</v>
      </c>
      <c r="M49" s="0" t="n">
        <f aca="false">SQRT(K49^2+L49^2)</f>
        <v>1.00000532706281</v>
      </c>
      <c r="N49" s="0" t="n">
        <f aca="false">ACOS(K49/M49)</f>
        <v>0.133006107006034</v>
      </c>
      <c r="O49" s="0" t="n">
        <f aca="false">10*N49</f>
        <v>1.33006107006034</v>
      </c>
    </row>
    <row r="50" customFormat="false" ht="17.35" hidden="false" customHeight="false" outlineLevel="0" collapsed="false">
      <c r="A50" s="2" t="n">
        <v>7.5</v>
      </c>
      <c r="B50" s="2" t="n">
        <v>100</v>
      </c>
      <c r="C50" s="2"/>
      <c r="D50" s="2" t="n">
        <v>10</v>
      </c>
      <c r="E50" s="2" t="n">
        <v>-54.1397</v>
      </c>
      <c r="F50" s="2" t="n">
        <v>-86.3236</v>
      </c>
      <c r="G50" s="2" t="n">
        <f aca="false">-E50/100</f>
        <v>0.541397</v>
      </c>
      <c r="H50" s="2" t="n">
        <f aca="false">-F50/100</f>
        <v>0.863236</v>
      </c>
      <c r="I50" s="2" t="n">
        <v>0.0111136</v>
      </c>
      <c r="J50" s="2" t="n">
        <v>-0.178024</v>
      </c>
      <c r="K50" s="0" t="n">
        <v>0.990669</v>
      </c>
      <c r="L50" s="0" t="n">
        <v>-0.136349</v>
      </c>
      <c r="M50" s="0" t="n">
        <f aca="false">SQRT(K50^2+L50^2)</f>
        <v>1.00000805864853</v>
      </c>
      <c r="N50" s="0" t="n">
        <f aca="false">ACOS(K50/M50)</f>
        <v>0.136773943427887</v>
      </c>
      <c r="O50" s="0" t="n">
        <f aca="false">10*N50</f>
        <v>1.36773943427887</v>
      </c>
    </row>
    <row r="51" customFormat="false" ht="17.35" hidden="false" customHeight="false" outlineLevel="0" collapsed="false">
      <c r="A51" s="2" t="n">
        <v>8</v>
      </c>
      <c r="B51" s="2" t="n">
        <v>100</v>
      </c>
      <c r="C51" s="2"/>
      <c r="D51" s="2" t="n">
        <v>10</v>
      </c>
      <c r="E51" s="2" t="n">
        <v>-56.2545</v>
      </c>
      <c r="F51" s="2" t="n">
        <v>-93.9162</v>
      </c>
      <c r="G51" s="2" t="n">
        <f aca="false">-E51/100</f>
        <v>0.562545</v>
      </c>
      <c r="H51" s="2" t="n">
        <f aca="false">-F51/100</f>
        <v>0.939162</v>
      </c>
      <c r="I51" s="2" t="n">
        <v>0.01219</v>
      </c>
      <c r="J51" s="2" t="n">
        <v>-0.180161</v>
      </c>
      <c r="K51" s="0" t="n">
        <v>0.990669</v>
      </c>
      <c r="L51" s="0" t="n">
        <v>-0.136371</v>
      </c>
      <c r="M51" s="0" t="n">
        <f aca="false">SQRT(K51^2+L51^2)</f>
        <v>1.00001105853985</v>
      </c>
      <c r="N51" s="0" t="n">
        <f aca="false">ACOS(K51/M51)</f>
        <v>0.136795737729241</v>
      </c>
      <c r="O51" s="0" t="n">
        <f aca="false">10*N51</f>
        <v>1.36795737729241</v>
      </c>
    </row>
    <row r="52" customFormat="false" ht="17.35" hidden="false" customHeight="false" outlineLevel="0" collapsed="false">
      <c r="A52" s="2" t="n">
        <v>8.5</v>
      </c>
      <c r="B52" s="2" t="n">
        <v>100</v>
      </c>
      <c r="C52" s="2"/>
      <c r="D52" s="2" t="n">
        <v>10</v>
      </c>
      <c r="E52" s="2" t="n">
        <v>-57.9754</v>
      </c>
      <c r="F52" s="2" t="n">
        <v>-101.08</v>
      </c>
      <c r="G52" s="2" t="n">
        <f aca="false">-E52/100</f>
        <v>0.579754</v>
      </c>
      <c r="H52" s="2" t="n">
        <f aca="false">-F52/100</f>
        <v>1.0108</v>
      </c>
      <c r="I52" s="2" t="n">
        <v>0.0110583</v>
      </c>
      <c r="J52" s="2" t="n">
        <v>-0.176219</v>
      </c>
      <c r="K52" s="0" t="n">
        <v>0.991426</v>
      </c>
      <c r="L52" s="0" t="n">
        <v>-0.130781</v>
      </c>
      <c r="M52" s="0" t="n">
        <f aca="false">SQRT(K52^2+L52^2)</f>
        <v>1.00001459161204</v>
      </c>
      <c r="N52" s="0" t="n">
        <f aca="false">ACOS(K52/M52)</f>
        <v>0.131154779947597</v>
      </c>
      <c r="O52" s="0" t="n">
        <f aca="false">10*N52</f>
        <v>1.31154779947597</v>
      </c>
    </row>
    <row r="53" customFormat="false" ht="17.35" hidden="false" customHeight="false" outlineLevel="0" collapsed="false">
      <c r="A53" s="2" t="n">
        <v>8.97</v>
      </c>
      <c r="B53" s="2" t="n">
        <v>100</v>
      </c>
      <c r="C53" s="2"/>
      <c r="D53" s="2" t="n">
        <v>10</v>
      </c>
      <c r="E53" s="2" t="n">
        <v>-59.7213</v>
      </c>
      <c r="F53" s="2" t="n">
        <v>-109.729</v>
      </c>
      <c r="G53" s="2" t="n">
        <f aca="false">-E53/100</f>
        <v>0.597213</v>
      </c>
      <c r="H53" s="2" t="n">
        <f aca="false">-F53/100</f>
        <v>1.09729</v>
      </c>
      <c r="I53" s="2" t="n">
        <v>0.0134808</v>
      </c>
      <c r="J53" s="2" t="n">
        <v>-0.159207</v>
      </c>
      <c r="K53" s="0" t="n">
        <v>0.993612</v>
      </c>
      <c r="L53" s="0" t="n">
        <f aca="false">-0.113019 -0.000000000000214171</f>
        <v>-0.113019000000214</v>
      </c>
      <c r="M53" s="0" t="n">
        <f aca="false">SQRT(K53^2+L53^2)</f>
        <v>1.00001905027107</v>
      </c>
      <c r="N53" s="0" t="n">
        <f aca="false">ACOS(K53/M53)</f>
        <v>0.113258830870368</v>
      </c>
      <c r="O53" s="0" t="n">
        <f aca="false">10*N53</f>
        <v>1.13258830870368</v>
      </c>
    </row>
    <row r="54" customFormat="false" ht="17.35" hidden="false" customHeight="false" outlineLevel="0" collapsed="false">
      <c r="A54" s="2" t="n">
        <v>8.99</v>
      </c>
      <c r="B54" s="2" t="n">
        <v>100</v>
      </c>
      <c r="C54" s="2"/>
      <c r="D54" s="2" t="n">
        <v>10</v>
      </c>
      <c r="E54" s="2" t="n">
        <v>-59.811</v>
      </c>
      <c r="F54" s="2" t="n">
        <v>-110.113</v>
      </c>
      <c r="G54" s="2" t="n">
        <f aca="false">-E54/100</f>
        <v>0.59811</v>
      </c>
      <c r="H54" s="2" t="n">
        <f aca="false">-F54/100</f>
        <v>1.10113</v>
      </c>
      <c r="I54" s="2" t="n">
        <v>0.0134803</v>
      </c>
      <c r="J54" s="2" t="n">
        <v>-0.157705</v>
      </c>
      <c r="K54" s="0" t="n">
        <v>0.993781</v>
      </c>
      <c r="L54" s="0" t="n">
        <v>-0.111526</v>
      </c>
      <c r="M54" s="0" t="n">
        <f aca="false">SQRT(K54^2+L54^2)</f>
        <v>1.00001936213105</v>
      </c>
      <c r="N54" s="0" t="n">
        <f aca="false">ACOS(K54/M54)</f>
        <v>0.11175632509322</v>
      </c>
      <c r="O54" s="0" t="n">
        <f aca="false">10*N54</f>
        <v>1.1175632509322</v>
      </c>
    </row>
  </sheetData>
  <mergeCells count="2">
    <mergeCell ref="K1:L1"/>
    <mergeCell ref="K39:L39"/>
  </mergeCells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4"/>
  <sheetViews>
    <sheetView showFormulas="false" showGridLines="true" showRowColHeaders="true" showZeros="true" rightToLeft="false" tabSelected="true" showOutlineSymbols="true" defaultGridColor="true" view="normal" topLeftCell="A10" colorId="64" zoomScale="100" zoomScaleNormal="100" zoomScalePageLayoutView="100" workbookViewId="0">
      <pane xSplit="1" ySplit="0" topLeftCell="B10" activePane="topRight" state="frozen"/>
      <selection pane="topLeft" activeCell="A10" activeCellId="0" sqref="A10"/>
      <selection pane="topRight" activeCell="B2" activeCellId="0" sqref="B2"/>
    </sheetView>
  </sheetViews>
  <sheetFormatPr defaultColWidth="11.55078125" defaultRowHeight="12.8" zeroHeight="false" outlineLevelRow="0" outlineLevelCol="0"/>
  <cols>
    <col collapsed="false" customWidth="true" hidden="false" outlineLevel="0" max="6" min="6" style="0" width="10.43"/>
    <col collapsed="false" customWidth="true" hidden="false" outlineLevel="0" max="7" min="7" style="0" width="13.57"/>
    <col collapsed="false" customWidth="true" hidden="false" outlineLevel="0" max="10" min="8" style="0" width="21.16"/>
  </cols>
  <sheetData>
    <row r="1" s="4" customFormat="true" ht="12.8" hidden="false" customHeight="false" outlineLevel="0" collapsed="false"/>
    <row r="2" s="4" customFormat="true" ht="15" hidden="false" customHeight="false" outlineLevel="0" collapsed="false">
      <c r="A2" s="5" t="s">
        <v>19</v>
      </c>
      <c r="B2" s="5" t="n">
        <v>41</v>
      </c>
      <c r="C2" s="5"/>
      <c r="D2" s="5" t="n">
        <v>81</v>
      </c>
      <c r="E2" s="5"/>
      <c r="F2" s="5" t="n">
        <v>40</v>
      </c>
      <c r="G2" s="5"/>
      <c r="H2" s="5"/>
      <c r="I2" s="5"/>
      <c r="J2" s="5"/>
    </row>
    <row r="3" s="4" customFormat="true" ht="15" hidden="false" customHeight="false" outlineLevel="0" collapsed="false">
      <c r="A3" s="5" t="s">
        <v>1</v>
      </c>
      <c r="B3" s="5" t="s">
        <v>20</v>
      </c>
      <c r="C3" s="5" t="s">
        <v>21</v>
      </c>
      <c r="D3" s="5" t="s">
        <v>22</v>
      </c>
      <c r="E3" s="5" t="s">
        <v>23</v>
      </c>
      <c r="F3" s="5" t="s">
        <v>11</v>
      </c>
      <c r="G3" s="5" t="s">
        <v>12</v>
      </c>
      <c r="H3" s="5" t="s">
        <v>24</v>
      </c>
      <c r="I3" s="5" t="s">
        <v>25</v>
      </c>
      <c r="J3" s="5" t="s">
        <v>26</v>
      </c>
      <c r="O3" s="4" t="s">
        <v>27</v>
      </c>
    </row>
    <row r="4" customFormat="false" ht="15" hidden="false" customHeight="false" outlineLevel="0" collapsed="false">
      <c r="A4" s="6" t="n">
        <f aca="false">0.1*8.97</f>
        <v>0.897</v>
      </c>
      <c r="B4" s="7" t="n">
        <v>0.0235992</v>
      </c>
      <c r="C4" s="7" t="n">
        <v>0.0309154</v>
      </c>
      <c r="D4" s="8" t="n">
        <v>0.0237348</v>
      </c>
      <c r="E4" s="8" t="n">
        <v>0.0320102</v>
      </c>
      <c r="F4" s="7" t="n">
        <v>0.99998</v>
      </c>
      <c r="G4" s="7" t="n">
        <v>-0.00605301</v>
      </c>
      <c r="H4" s="7" t="n">
        <f aca="false">ROUND(SQRT(F4^2+G4^2),4)</f>
        <v>1</v>
      </c>
      <c r="I4" s="7" t="n">
        <f aca="false">ROUND(ACOS(F4/H4),4)</f>
        <v>0.0063</v>
      </c>
      <c r="J4" s="7" t="n">
        <f aca="false">10*I4</f>
        <v>0.063</v>
      </c>
      <c r="K4" s="0" t="n">
        <v>0.99998</v>
      </c>
      <c r="L4" s="0" t="n">
        <v>-0.00611262</v>
      </c>
      <c r="M4" s="0" t="n">
        <f aca="false">SQRT(K4^2+L4^2)</f>
        <v>0.999998682260764</v>
      </c>
      <c r="N4" s="0" t="n">
        <f aca="false">ACOS(K4/M4)</f>
        <v>0.00611266612109056</v>
      </c>
      <c r="O4" s="0" t="n">
        <f aca="false">10*N4</f>
        <v>0.0611266612109056</v>
      </c>
    </row>
    <row r="5" customFormat="false" ht="15" hidden="false" customHeight="false" outlineLevel="0" collapsed="false">
      <c r="A5" s="6" t="n">
        <f aca="false">0.2*8.97</f>
        <v>1.794</v>
      </c>
      <c r="B5" s="7" t="n">
        <v>0.0572113</v>
      </c>
      <c r="C5" s="7" t="n">
        <v>0.070814</v>
      </c>
      <c r="D5" s="8" t="n">
        <v>0.0577539</v>
      </c>
      <c r="E5" s="8" t="n">
        <v>0.07142</v>
      </c>
      <c r="F5" s="7" t="n">
        <v>0.999895</v>
      </c>
      <c r="G5" s="7" t="n">
        <v>-0.014319</v>
      </c>
      <c r="H5" s="7" t="n">
        <f aca="false">ROUND(SQRT(F5^2+G5^2),5)</f>
        <v>1</v>
      </c>
      <c r="I5" s="7" t="n">
        <f aca="false">ROUND(ACOS(F5/H5),4)</f>
        <v>0.0145</v>
      </c>
      <c r="J5" s="7" t="n">
        <f aca="false">10*I5</f>
        <v>0.145</v>
      </c>
      <c r="K5" s="0" t="n">
        <v>0.999902</v>
      </c>
      <c r="L5" s="0" t="n">
        <v>0.0137497</v>
      </c>
      <c r="M5" s="0" t="n">
        <f aca="false">SQRT(K5^2+L5^2)</f>
        <v>0.999996531921031</v>
      </c>
      <c r="N5" s="0" t="n">
        <f aca="false">ACOS(K5/M5)</f>
        <v>0.0137501809664547</v>
      </c>
      <c r="O5" s="0" t="n">
        <f aca="false">10*N5</f>
        <v>0.137501809664547</v>
      </c>
    </row>
    <row r="6" customFormat="false" ht="15" hidden="false" customHeight="false" outlineLevel="0" collapsed="false">
      <c r="A6" s="6" t="n">
        <f aca="false">0.3*8.97</f>
        <v>2.691</v>
      </c>
      <c r="B6" s="7" t="n">
        <v>0.105397</v>
      </c>
      <c r="C6" s="7" t="n">
        <v>0.124475</v>
      </c>
      <c r="D6" s="8" t="n">
        <v>0.106461</v>
      </c>
      <c r="E6" s="8" t="n">
        <v>0.128902</v>
      </c>
      <c r="F6" s="7" t="n">
        <v>0.999664</v>
      </c>
      <c r="G6" s="7" t="n">
        <v>-0.0257799</v>
      </c>
      <c r="H6" s="7" t="n">
        <f aca="false">ROUND(SQRT(F6^2+G6^2),5)</f>
        <v>1</v>
      </c>
      <c r="I6" s="7" t="n">
        <f aca="false">ROUND(ACOS(F6/H6),4)</f>
        <v>0.0259</v>
      </c>
      <c r="J6" s="7" t="n">
        <f aca="false">10*I6</f>
        <v>0.259</v>
      </c>
      <c r="K6" s="0" t="n">
        <v>0.999657</v>
      </c>
      <c r="L6" s="0" t="n">
        <v>-0.0260421</v>
      </c>
      <c r="M6" s="0" t="n">
        <f aca="false">SQRT(K6^2+L6^2)</f>
        <v>0.99999615430331</v>
      </c>
      <c r="N6" s="0" t="n">
        <f aca="false">ACOS(K6/M6)</f>
        <v>0.0260451446692715</v>
      </c>
      <c r="O6" s="0" t="n">
        <f aca="false">10*N6</f>
        <v>0.260451446692715</v>
      </c>
    </row>
    <row r="7" customFormat="false" ht="15" hidden="false" customHeight="false" outlineLevel="0" collapsed="false">
      <c r="A7" s="6" t="n">
        <f aca="false">0.4*8.97</f>
        <v>3.588</v>
      </c>
      <c r="B7" s="7" t="n">
        <v>0.173472</v>
      </c>
      <c r="C7" s="7" t="n">
        <v>0.199713</v>
      </c>
      <c r="D7" s="8" t="n">
        <v>0.175578</v>
      </c>
      <c r="E7" s="8" t="n">
        <v>0.20683</v>
      </c>
      <c r="F7" s="7" t="n">
        <v>0.999134</v>
      </c>
      <c r="G7" s="7" t="n">
        <v>-0.0415081</v>
      </c>
      <c r="H7" s="7" t="n">
        <f aca="false">ROUND(SQRT(F7^2+G7^2),5)</f>
        <v>1</v>
      </c>
      <c r="I7" s="7" t="n">
        <f aca="false">ROUND(ACOS(F7/H7),4)</f>
        <v>0.0416</v>
      </c>
      <c r="J7" s="7" t="n">
        <f aca="false">10*I7</f>
        <v>0.416</v>
      </c>
      <c r="K7" s="0" t="n">
        <v>0.999116</v>
      </c>
      <c r="L7" s="0" t="n">
        <v>-0.0419267</v>
      </c>
      <c r="M7" s="0" t="n">
        <f aca="false">SQRT(K7^2+L7^2)</f>
        <v>0.999995314803469</v>
      </c>
      <c r="N7" s="0" t="n">
        <f aca="false">ACOS(K7/M7)</f>
        <v>0.0419391897975824</v>
      </c>
      <c r="O7" s="0" t="n">
        <f aca="false">10*N7</f>
        <v>0.419391897975824</v>
      </c>
    </row>
    <row r="8" customFormat="false" ht="15" hidden="false" customHeight="false" outlineLevel="0" collapsed="false">
      <c r="A8" s="6" t="n">
        <f aca="false">0.5*8.97</f>
        <v>4.485</v>
      </c>
      <c r="B8" s="7" t="n">
        <v>0.263095</v>
      </c>
      <c r="C8" s="7" t="n">
        <v>0.306513</v>
      </c>
      <c r="D8" s="8" t="n">
        <v>0.26656</v>
      </c>
      <c r="E8" s="8" t="n">
        <v>0.317264</v>
      </c>
      <c r="F8" s="7" t="n">
        <v>0.998097</v>
      </c>
      <c r="G8" s="7" t="n">
        <v>-0.0616001</v>
      </c>
      <c r="H8" s="7" t="n">
        <f aca="false">ROUND(SQRT(F8^2+G8^2),5)</f>
        <v>1</v>
      </c>
      <c r="I8" s="7" t="n">
        <f aca="false">ROUND(ACOS(F8/H8),4)</f>
        <v>0.0617</v>
      </c>
      <c r="J8" s="7" t="n">
        <f aca="false">10*I8</f>
        <v>0.617</v>
      </c>
      <c r="K8" s="0" t="n">
        <v>0.998064</v>
      </c>
      <c r="L8" s="0" t="n">
        <v>-0.0621404</v>
      </c>
      <c r="M8" s="0" t="n">
        <f aca="false">SQRT(K8^2+L8^2)</f>
        <v>0.999996588698262</v>
      </c>
      <c r="N8" s="0" t="n">
        <f aca="false">ACOS(K8/M8)</f>
        <v>0.0621806738361258</v>
      </c>
      <c r="O8" s="0" t="n">
        <f aca="false">10*N8</f>
        <v>0.621806738361258</v>
      </c>
    </row>
    <row r="9" customFormat="false" ht="15" hidden="false" customHeight="false" outlineLevel="0" collapsed="false">
      <c r="A9" s="6" t="n">
        <f aca="false">0.6*8.97</f>
        <v>5.382</v>
      </c>
      <c r="B9" s="7" t="n">
        <v>0.36315</v>
      </c>
      <c r="C9" s="7" t="n">
        <v>0.448343</v>
      </c>
      <c r="D9" s="8" t="n">
        <v>0.367666</v>
      </c>
      <c r="E9" s="8" t="n">
        <v>0.46314</v>
      </c>
      <c r="F9" s="7" t="n">
        <v>0.996532</v>
      </c>
      <c r="G9" s="7" t="n">
        <v>-0.0831846</v>
      </c>
      <c r="H9" s="7" t="n">
        <f aca="false">ROUND(SQRT(F9^2+G9^2),5)</f>
        <v>1</v>
      </c>
      <c r="I9" s="7" t="n">
        <f aca="false">ROUND(ACOS(F9/H9),4)</f>
        <v>0.0833</v>
      </c>
      <c r="J9" s="7" t="n">
        <f aca="false">10*I9</f>
        <v>0.833</v>
      </c>
      <c r="K9" s="0" t="n">
        <v>0.996497</v>
      </c>
      <c r="L9" s="0" t="n">
        <v>-0.0836127</v>
      </c>
      <c r="M9" s="0" t="n">
        <f aca="false">SQRT(K9^2+L9^2)</f>
        <v>0.99999867730427</v>
      </c>
      <c r="N9" s="0" t="n">
        <f aca="false">ACOS(K9/M9)</f>
        <v>0.0837105426548084</v>
      </c>
      <c r="O9" s="0" t="n">
        <f aca="false">10*N9</f>
        <v>0.837105426548084</v>
      </c>
    </row>
    <row r="10" customFormat="false" ht="15" hidden="false" customHeight="false" outlineLevel="0" collapsed="false">
      <c r="A10" s="6" t="n">
        <f aca="false">0.7*8.97</f>
        <v>6.279</v>
      </c>
      <c r="B10" s="7" t="n">
        <v>0.451826</v>
      </c>
      <c r="C10" s="7" t="n">
        <v>0.611189</v>
      </c>
      <c r="D10" s="8" t="n">
        <v>0.456629</v>
      </c>
      <c r="E10" s="8" t="n">
        <v>0.629313</v>
      </c>
      <c r="F10" s="7" t="n">
        <v>0.994891</v>
      </c>
      <c r="G10" s="7" t="n">
        <v>-0.10097</v>
      </c>
      <c r="H10" s="7" t="n">
        <f aca="false">ROUND(SQRT(F10^2+G10^2),5)</f>
        <v>1</v>
      </c>
      <c r="I10" s="7" t="n">
        <f aca="false">ROUND(ACOS(F10/H10),4)</f>
        <v>0.1011</v>
      </c>
      <c r="J10" s="7" t="n">
        <f aca="false">10*I10</f>
        <v>1.011</v>
      </c>
      <c r="K10" s="0" t="n">
        <v>0.9949</v>
      </c>
      <c r="L10" s="0" t="n">
        <v>-0.100882</v>
      </c>
      <c r="M10" s="0" t="n">
        <f aca="false">SQRT(K10^2+L10^2)</f>
        <v>1.00000159396073</v>
      </c>
      <c r="N10" s="0" t="n">
        <f aca="false">ACOS(K10/M10)</f>
        <v>0.101053742495032</v>
      </c>
      <c r="O10" s="0" t="n">
        <f aca="false">10*N10</f>
        <v>1.01053742495032</v>
      </c>
    </row>
    <row r="11" customFormat="false" ht="15" hidden="false" customHeight="false" outlineLevel="0" collapsed="false">
      <c r="A11" s="6" t="n">
        <f aca="false">0.8*8.97</f>
        <v>7.176</v>
      </c>
      <c r="B11" s="7" t="n">
        <v>0.51512</v>
      </c>
      <c r="C11" s="7" t="n">
        <v>0.740883</v>
      </c>
      <c r="D11" s="8" t="n">
        <v>0.521252</v>
      </c>
      <c r="E11" s="8" t="n">
        <v>0.794117</v>
      </c>
      <c r="F11" s="7" t="n">
        <v>0.993819</v>
      </c>
      <c r="G11" s="7" t="n">
        <v>-0.11106</v>
      </c>
      <c r="H11" s="7" t="n">
        <f aca="false">ROUND(SQRT(F11^2+G11^2),4)</f>
        <v>1</v>
      </c>
      <c r="I11" s="7" t="n">
        <f aca="false">ROUND(ACOS(F11/H11),4)</f>
        <v>0.1112</v>
      </c>
      <c r="J11" s="7" t="n">
        <f aca="false">10*I11</f>
        <v>1.112</v>
      </c>
      <c r="K11" s="0" t="n">
        <v>0.99394</v>
      </c>
      <c r="L11" s="0" t="n">
        <v>-0.109982</v>
      </c>
      <c r="M11" s="0" t="n">
        <f aca="false">SQRT(K11^2+L11^2)</f>
        <v>1.00000638194164</v>
      </c>
      <c r="N11" s="0" t="n">
        <f aca="false">ACOS(K11/M11)</f>
        <v>0.110204233929382</v>
      </c>
      <c r="O11" s="0" t="n">
        <f aca="false">10*N11</f>
        <v>1.10204233929382</v>
      </c>
    </row>
    <row r="12" customFormat="false" ht="15" hidden="false" customHeight="false" outlineLevel="0" collapsed="false">
      <c r="A12" s="6" t="n">
        <f aca="false">0.9*8.97</f>
        <v>8.073</v>
      </c>
      <c r="B12" s="7" t="n">
        <v>0.559977</v>
      </c>
      <c r="C12" s="7" t="n">
        <v>0.925402</v>
      </c>
      <c r="D12" s="8" t="n">
        <v>0.564707</v>
      </c>
      <c r="E12" s="8" t="n">
        <v>0.947265</v>
      </c>
      <c r="F12" s="7" t="n">
        <v>0.993877</v>
      </c>
      <c r="G12" s="7" t="n">
        <v>-0.11059</v>
      </c>
      <c r="H12" s="7" t="n">
        <f aca="false">ROUND(SQRT(F12^2+G12^2),5)</f>
        <v>1.00001</v>
      </c>
      <c r="I12" s="7" t="n">
        <f aca="false">ROUND(ACOS(F12/H12),4)</f>
        <v>0.1108</v>
      </c>
      <c r="J12" s="7" t="n">
        <f aca="false">10*I12</f>
        <v>1.108</v>
      </c>
      <c r="K12" s="0" t="n">
        <v>0.994208</v>
      </c>
      <c r="L12" s="0" t="n">
        <v>-0.107581</v>
      </c>
      <c r="M12" s="0" t="n">
        <f aca="false">SQRT(K12^2+L12^2)</f>
        <v>1.00001160934511</v>
      </c>
      <c r="N12" s="0" t="n">
        <f aca="false">ACOS(K12/M12)</f>
        <v>0.107788349928332</v>
      </c>
      <c r="O12" s="0" t="n">
        <f aca="false">10*N12</f>
        <v>1.07788349928332</v>
      </c>
    </row>
    <row r="13" customFormat="false" ht="15" hidden="false" customHeight="false" outlineLevel="0" collapsed="false">
      <c r="A13" s="6" t="n">
        <f aca="false">1*8.97</f>
        <v>8.97</v>
      </c>
      <c r="B13" s="7" t="n">
        <v>0.595619</v>
      </c>
      <c r="C13" s="7" t="n">
        <v>1.07974</v>
      </c>
      <c r="D13" s="8" t="n">
        <v>0.604336</v>
      </c>
      <c r="E13" s="8" t="n">
        <v>1.11239</v>
      </c>
      <c r="F13" s="7" t="n">
        <v>0.996468</v>
      </c>
      <c r="G13" s="7" t="n">
        <v>-0.0841965</v>
      </c>
      <c r="H13" s="7" t="n">
        <f aca="false">ROUND(SQRT(F13^2+G13^2),5)</f>
        <v>1.00002</v>
      </c>
      <c r="I13" s="7" t="n">
        <f aca="false">ROUND(ACOS(F13/H13),4)</f>
        <v>0.0843</v>
      </c>
      <c r="J13" s="7" t="n">
        <f aca="false">10*I13</f>
        <v>0.843</v>
      </c>
      <c r="K13" s="0" t="n">
        <v>0.997737</v>
      </c>
      <c r="L13" s="0" t="n">
        <v>-0.0675525</v>
      </c>
      <c r="M13" s="0" t="n">
        <f aca="false">SQRT(K13^2+L13^2)</f>
        <v>1.00002123048726</v>
      </c>
      <c r="N13" s="0" t="n">
        <f aca="false">ACOS(K13/M13)</f>
        <v>0.0676025458729978</v>
      </c>
      <c r="O13" s="0" t="n">
        <f aca="false">10*N13</f>
        <v>0.676025458729978</v>
      </c>
    </row>
    <row r="14" customFormat="false" ht="12.8" hidden="false" customHeight="false" outlineLevel="0" collapsed="false">
      <c r="A14" s="4"/>
      <c r="B14" s="4"/>
      <c r="C14" s="4"/>
      <c r="D14" s="4"/>
      <c r="E14" s="4"/>
    </row>
  </sheetData>
  <mergeCells count="3">
    <mergeCell ref="B2:C2"/>
    <mergeCell ref="D2:E2"/>
    <mergeCell ref="F2:J2"/>
  </mergeCells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57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2021-05-02T13:08:20Z</dcterms:created>
  <dc:creator/>
  <dc:description/>
  <dc:language>en-US</dc:language>
  <cp:lastModifiedBy/>
  <dcterms:modified xsi:type="dcterms:W3CDTF">2021-05-28T15:48:43Z</dcterms:modified>
  <cp:revision>8</cp:revision>
  <dc:subject/>
  <dc:title/>
</cp:coreProperties>
</file>