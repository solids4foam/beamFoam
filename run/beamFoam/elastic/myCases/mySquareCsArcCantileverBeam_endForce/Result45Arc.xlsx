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<sst xmlns="http://schemas.openxmlformats.org/spreadsheetml/2006/main" count="36" uniqueCount="25">
  <si>
    <t xml:space="preserve">Displacement</t>
  </si>
  <si>
    <t xml:space="preserve">x</t>
  </si>
  <si>
    <t xml:space="preserve">y</t>
  </si>
  <si>
    <t xml:space="preserve">z</t>
  </si>
  <si>
    <t xml:space="preserve">X</t>
  </si>
  <si>
    <t xml:space="preserve">Y</t>
  </si>
  <si>
    <t xml:space="preserve">Z</t>
  </si>
  <si>
    <t xml:space="preserve">CV</t>
  </si>
  <si>
    <t xml:space="preserve">Elem Size</t>
  </si>
  <si>
    <t xml:space="preserve">wx</t>
  </si>
  <si>
    <t xml:space="preserve">wy</t>
  </si>
  <si>
    <t xml:space="preserve">wz</t>
  </si>
  <si>
    <t xml:space="preserve">ex</t>
  </si>
  <si>
    <t xml:space="preserve">ey</t>
  </si>
  <si>
    <t xml:space="preserve">ez</t>
  </si>
  <si>
    <t xml:space="preserve">Mesh Convergence for 45 deg arc Cantilever case</t>
  </si>
  <si>
    <t xml:space="preserve">Cvs</t>
  </si>
  <si>
    <t xml:space="preserve">Error x-disp</t>
  </si>
  <si>
    <t xml:space="preserve">Error y-disp</t>
  </si>
  <si>
    <t xml:space="preserve">Error z-disp</t>
  </si>
  <si>
    <t xml:space="preserve">Order of convergence (err_x)</t>
  </si>
  <si>
    <t xml:space="preserve">Order of convergence (err_y)</t>
  </si>
  <si>
    <t xml:space="preserve">Order of convergence (err_z)</t>
  </si>
  <si>
    <t xml:space="preserve">After modifying initially curved configuration of beam not put in paper. The previous one is only provided in paper)</t>
  </si>
  <si>
    <t xml:space="preserve">CVs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</si>
</sst>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0"/>
      <name val="Arial"/>
      <family val="2"/>
    </font>
    <font>
      <b val="true"/>
      <sz val="14"/>
      <name val="arial"/>
      <family val="2"/>
      <charset val="1"/>
    </font>
    <font>
      <sz val="14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Sheet1!$J$2:$J$11</c:f>
              <c:numCache>
                <c:formatCode>General</c:formatCode>
                <c:ptCount val="1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</c:numCache>
            </c:numRef>
          </c:xVal>
          <c:yVal>
            <c:numRef>
              <c:f>Sheet1!$N$2:$N$11</c:f>
              <c:numCache>
                <c:formatCode>General</c:formatCode>
                <c:ptCount val="10"/>
                <c:pt idx="0">
                  <c:v>0.814155</c:v>
                </c:pt>
                <c:pt idx="1">
                  <c:v>2.96148</c:v>
                </c:pt>
                <c:pt idx="2">
                  <c:v>5.83473</c:v>
                </c:pt>
                <c:pt idx="3">
                  <c:v>8.92221</c:v>
                </c:pt>
                <c:pt idx="4">
                  <c:v>11.9313</c:v>
                </c:pt>
                <c:pt idx="5">
                  <c:v>14.7331</c:v>
                </c:pt>
                <c:pt idx="6">
                  <c:v>17.2877</c:v>
                </c:pt>
                <c:pt idx="7">
                  <c:v>19.5971</c:v>
                </c:pt>
                <c:pt idx="8">
                  <c:v>21.68</c:v>
                </c:pt>
                <c:pt idx="9">
                  <c:v>23.5604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Sheet1!$J$2:$J$11</c:f>
              <c:numCache>
                <c:formatCode>General</c:formatCode>
                <c:ptCount val="1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</c:numCache>
            </c:numRef>
          </c:xVal>
          <c:yVal>
            <c:numRef>
              <c:f>Sheet1!$O$2:$O$11</c:f>
              <c:numCache>
                <c:formatCode>General</c:formatCode>
                <c:ptCount val="10"/>
                <c:pt idx="0">
                  <c:v>11.0383</c:v>
                </c:pt>
                <c:pt idx="1">
                  <c:v>20.854</c:v>
                </c:pt>
                <c:pt idx="2">
                  <c:v>28.898</c:v>
                </c:pt>
                <c:pt idx="3">
                  <c:v>35.2381</c:v>
                </c:pt>
                <c:pt idx="4">
                  <c:v>40.1894</c:v>
                </c:pt>
                <c:pt idx="5">
                  <c:v>44.0814</c:v>
                </c:pt>
                <c:pt idx="6">
                  <c:v>47.1818</c:v>
                </c:pt>
                <c:pt idx="7">
                  <c:v>49.6904</c:v>
                </c:pt>
                <c:pt idx="8">
                  <c:v>51.7519</c:v>
                </c:pt>
                <c:pt idx="9">
                  <c:v>53.4715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Sheet1!$J$2:$J$11</c:f>
              <c:numCache>
                <c:formatCode>General</c:formatCode>
                <c:ptCount val="10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</c:numCache>
            </c:numRef>
          </c:xVal>
          <c:yVal>
            <c:numRef>
              <c:f>Sheet1!$P$2:$P$11</c:f>
              <c:numCache>
                <c:formatCode>General</c:formatCode>
                <c:ptCount val="10"/>
                <c:pt idx="0">
                  <c:v>-11.0383</c:v>
                </c:pt>
                <c:pt idx="1">
                  <c:v>-20.854</c:v>
                </c:pt>
                <c:pt idx="2">
                  <c:v>-28.898</c:v>
                </c:pt>
                <c:pt idx="3">
                  <c:v>-35.2381</c:v>
                </c:pt>
                <c:pt idx="4">
                  <c:v>-40.1894</c:v>
                </c:pt>
                <c:pt idx="5">
                  <c:v>-44.0814</c:v>
                </c:pt>
                <c:pt idx="6">
                  <c:v>-47.1818</c:v>
                </c:pt>
                <c:pt idx="7">
                  <c:v>-49.6904</c:v>
                </c:pt>
                <c:pt idx="8">
                  <c:v>-51.7519</c:v>
                </c:pt>
                <c:pt idx="9">
                  <c:v>-53.4715</c:v>
                </c:pt>
              </c:numCache>
            </c:numRef>
          </c:yVal>
          <c:smooth val="0"/>
        </c:ser>
        <c:axId val="11621915"/>
        <c:axId val="17381509"/>
      </c:scatterChart>
      <c:valAx>
        <c:axId val="1162191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381509"/>
        <c:crosses val="autoZero"/>
        <c:crossBetween val="midCat"/>
      </c:valAx>
      <c:valAx>
        <c:axId val="1738150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162191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744120</xdr:colOff>
      <xdr:row>12</xdr:row>
      <xdr:rowOff>134280</xdr:rowOff>
    </xdr:from>
    <xdr:to>
      <xdr:col>16</xdr:col>
      <xdr:colOff>812520</xdr:colOff>
      <xdr:row>27</xdr:row>
      <xdr:rowOff>62640</xdr:rowOff>
    </xdr:to>
    <xdr:graphicFrame>
      <xdr:nvGraphicFramePr>
        <xdr:cNvPr id="0" name=""/>
        <xdr:cNvGraphicFramePr/>
      </xdr:nvGraphicFramePr>
      <xdr:xfrm>
        <a:off x="8059320" y="2778120"/>
        <a:ext cx="575784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7.35" zeroHeight="false" outlineLevelRow="0" outlineLevelCol="0"/>
  <cols>
    <col collapsed="false" customWidth="false" hidden="false" outlineLevel="0" max="1023" min="1" style="1" width="11.52"/>
  </cols>
  <sheetData>
    <row r="1" customFormat="false" ht="17.35" hidden="false" customHeight="false" outlineLevel="0" collapsed="false">
      <c r="C1" s="2" t="s">
        <v>0</v>
      </c>
      <c r="D1" s="2"/>
      <c r="E1" s="2"/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</row>
    <row r="2" customFormat="false" ht="17.35" hidden="false" customHeight="false" outlineLevel="0" collapsed="false">
      <c r="A2" s="1" t="s">
        <v>7</v>
      </c>
      <c r="C2" s="1" t="s">
        <v>1</v>
      </c>
      <c r="D2" s="1" t="s">
        <v>2</v>
      </c>
      <c r="E2" s="1" t="s">
        <v>3</v>
      </c>
      <c r="J2" s="1" t="n">
        <v>60</v>
      </c>
      <c r="K2" s="1" t="n">
        <v>-0.814155</v>
      </c>
      <c r="L2" s="1" t="n">
        <v>-0.488256</v>
      </c>
      <c r="M2" s="1" t="n">
        <v>11.0383</v>
      </c>
      <c r="N2" s="1" t="n">
        <f aca="false">ABS(K2)</f>
        <v>0.814155</v>
      </c>
      <c r="O2" s="1" t="n">
        <f aca="false">ABS(M2)</f>
        <v>11.0383</v>
      </c>
      <c r="P2" s="1" t="n">
        <f aca="false">-1*M2</f>
        <v>-11.0383</v>
      </c>
    </row>
    <row r="3" customFormat="false" ht="17.35" hidden="false" customHeight="false" outlineLevel="0" collapsed="false">
      <c r="A3" s="1" t="n">
        <v>50</v>
      </c>
      <c r="C3" s="1" t="n">
        <v>-23.56</v>
      </c>
      <c r="D3" s="1" t="n">
        <v>-13.603</v>
      </c>
      <c r="E3" s="1" t="n">
        <v>53.4654</v>
      </c>
      <c r="J3" s="1" t="n">
        <v>120</v>
      </c>
      <c r="K3" s="1" t="n">
        <v>-2.96148</v>
      </c>
      <c r="L3" s="1" t="n">
        <v>-1.7712</v>
      </c>
      <c r="M3" s="1" t="n">
        <v>20.854</v>
      </c>
      <c r="N3" s="1" t="n">
        <f aca="false">ABS(K3)</f>
        <v>2.96148</v>
      </c>
      <c r="O3" s="1" t="n">
        <f aca="false">ABS(M3)</f>
        <v>20.854</v>
      </c>
      <c r="P3" s="1" t="n">
        <f aca="false">-1*M3</f>
        <v>-20.854</v>
      </c>
    </row>
    <row r="4" customFormat="false" ht="17.35" hidden="false" customHeight="false" outlineLevel="0" collapsed="false">
      <c r="A4" s="1" t="n">
        <v>25</v>
      </c>
      <c r="C4" s="1" t="n">
        <v>-23.5581</v>
      </c>
      <c r="D4" s="1" t="n">
        <v>-13.5978</v>
      </c>
      <c r="E4" s="1" t="n">
        <v>53.4353</v>
      </c>
      <c r="J4" s="1" t="n">
        <v>180</v>
      </c>
      <c r="K4" s="1" t="n">
        <v>-5.83473</v>
      </c>
      <c r="L4" s="1" t="n">
        <v>-3.47624</v>
      </c>
      <c r="M4" s="1" t="n">
        <v>28.898</v>
      </c>
      <c r="N4" s="1" t="n">
        <f aca="false">ABS(K4)</f>
        <v>5.83473</v>
      </c>
      <c r="O4" s="1" t="n">
        <f aca="false">ABS(M4)</f>
        <v>28.898</v>
      </c>
      <c r="P4" s="1" t="n">
        <f aca="false">-1*M4</f>
        <v>-28.898</v>
      </c>
    </row>
    <row r="5" customFormat="false" ht="17.35" hidden="false" customHeight="false" outlineLevel="0" collapsed="false">
      <c r="J5" s="1" t="n">
        <v>240</v>
      </c>
      <c r="K5" s="1" t="n">
        <v>-8.92221</v>
      </c>
      <c r="L5" s="1" t="n">
        <v>-5.29221</v>
      </c>
      <c r="M5" s="1" t="n">
        <v>35.2381</v>
      </c>
      <c r="N5" s="1" t="n">
        <f aca="false">ABS(K5)</f>
        <v>8.92221</v>
      </c>
      <c r="O5" s="1" t="n">
        <f aca="false">ABS(M5)</f>
        <v>35.2381</v>
      </c>
      <c r="P5" s="1" t="n">
        <f aca="false">-1*M5</f>
        <v>-35.2381</v>
      </c>
    </row>
    <row r="6" customFormat="false" ht="17.35" hidden="false" customHeight="false" outlineLevel="0" collapsed="false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1" t="s">
        <v>12</v>
      </c>
      <c r="G6" s="1" t="s">
        <v>13</v>
      </c>
      <c r="H6" s="1" t="s">
        <v>14</v>
      </c>
      <c r="J6" s="1" t="n">
        <v>300</v>
      </c>
      <c r="K6" s="1" t="n">
        <v>-11.9313</v>
      </c>
      <c r="L6" s="1" t="n">
        <v>-7.04419</v>
      </c>
      <c r="M6" s="1" t="n">
        <v>40.1894</v>
      </c>
      <c r="N6" s="1" t="n">
        <f aca="false">ABS(K6)</f>
        <v>11.9313</v>
      </c>
      <c r="O6" s="1" t="n">
        <f aca="false">ABS(M6)</f>
        <v>40.1894</v>
      </c>
      <c r="P6" s="1" t="n">
        <f aca="false">-1*M6</f>
        <v>-40.1894</v>
      </c>
    </row>
    <row r="7" customFormat="false" ht="17.35" hidden="false" customHeight="false" outlineLevel="0" collapsed="false">
      <c r="A7" s="1" t="n">
        <v>5</v>
      </c>
      <c r="B7" s="1" t="n">
        <f aca="false">78.5398/A7</f>
        <v>15.70796</v>
      </c>
      <c r="C7" s="1" t="n">
        <v>-23.4855</v>
      </c>
      <c r="D7" s="1" t="n">
        <v>-13.4313</v>
      </c>
      <c r="E7" s="1" t="n">
        <v>52.4733</v>
      </c>
      <c r="F7" s="3" t="n">
        <f aca="false">ABS((C7+23.5606)/23.5606)</f>
        <v>0.00318752493569769</v>
      </c>
      <c r="G7" s="1" t="n">
        <f aca="false">ABS((D7+13.6046)/13.6046)</f>
        <v>0.0127383385031533</v>
      </c>
      <c r="H7" s="1" t="n">
        <f aca="false">ABS((E7-53.47444)/53.44415)</f>
        <v>0.0187324524760895</v>
      </c>
      <c r="J7" s="1" t="n">
        <v>360</v>
      </c>
      <c r="K7" s="1" t="n">
        <v>-14.7331</v>
      </c>
      <c r="L7" s="1" t="n">
        <v>-8.6577</v>
      </c>
      <c r="M7" s="1" t="n">
        <v>44.0814</v>
      </c>
      <c r="N7" s="1" t="n">
        <f aca="false">ABS(K7)</f>
        <v>14.7331</v>
      </c>
      <c r="O7" s="1" t="n">
        <f aca="false">ABS(M7)</f>
        <v>44.0814</v>
      </c>
      <c r="P7" s="1" t="n">
        <f aca="false">-1*M7</f>
        <v>-44.0814</v>
      </c>
    </row>
    <row r="8" customFormat="false" ht="17.35" hidden="false" customHeight="false" outlineLevel="0" collapsed="false">
      <c r="A8" s="1" t="n">
        <v>10</v>
      </c>
      <c r="B8" s="1" t="n">
        <f aca="false">78.5398/A8</f>
        <v>7.85398</v>
      </c>
      <c r="C8" s="1" t="n">
        <v>-23.5438</v>
      </c>
      <c r="D8" s="1" t="n">
        <v>-13.5616</v>
      </c>
      <c r="E8" s="1" t="n">
        <v>53.2247</v>
      </c>
      <c r="F8" s="3" t="n">
        <f aca="false">ABS((C8+23.5606)/23.5606)</f>
        <v>0.000713054845801886</v>
      </c>
      <c r="G8" s="1" t="n">
        <f aca="false">ABS((D8+13.6046)/13.6046)</f>
        <v>0.0031606956470605</v>
      </c>
      <c r="H8" s="1" t="n">
        <f aca="false">ABS((E8-53.47444)/53.44415)</f>
        <v>0.00467291555764294</v>
      </c>
      <c r="J8" s="1" t="n">
        <v>420</v>
      </c>
      <c r="K8" s="1" t="n">
        <v>-17.2877</v>
      </c>
      <c r="L8" s="1" t="n">
        <v>-10.1123</v>
      </c>
      <c r="M8" s="1" t="n">
        <v>47.1818</v>
      </c>
      <c r="N8" s="1" t="n">
        <f aca="false">ABS(K8)</f>
        <v>17.2877</v>
      </c>
      <c r="O8" s="1" t="n">
        <f aca="false">ABS(M8)</f>
        <v>47.1818</v>
      </c>
      <c r="P8" s="1" t="n">
        <f aca="false">-1*M8</f>
        <v>-47.1818</v>
      </c>
    </row>
    <row r="9" customFormat="false" ht="17.35" hidden="false" customHeight="false" outlineLevel="0" collapsed="false">
      <c r="A9" s="1" t="n">
        <v>20</v>
      </c>
      <c r="B9" s="1" t="n">
        <f aca="false">78.5398/A9</f>
        <v>3.92699</v>
      </c>
      <c r="C9" s="1" t="n">
        <v>-23.5566</v>
      </c>
      <c r="D9" s="1" t="n">
        <v>-13.5936</v>
      </c>
      <c r="E9" s="1" t="n">
        <v>53.4127</v>
      </c>
      <c r="F9" s="3" t="n">
        <f aca="false">ABS((C9+23.5606)/23.5606)</f>
        <v>0.000169774963286221</v>
      </c>
      <c r="G9" s="1" t="n">
        <f aca="false">ABS((D9+13.6046)/13.6046)</f>
        <v>0.000808550049247992</v>
      </c>
      <c r="H9" s="1" t="n">
        <f aca="false">ABS((E9-53.47444)/53.44415)</f>
        <v>0.00115522465976165</v>
      </c>
      <c r="J9" s="1" t="n">
        <v>480</v>
      </c>
      <c r="K9" s="1" t="n">
        <v>-19.5971</v>
      </c>
      <c r="L9" s="1" t="n">
        <v>-11.412</v>
      </c>
      <c r="M9" s="1" t="n">
        <v>49.6904</v>
      </c>
      <c r="N9" s="1" t="n">
        <f aca="false">ABS(K9)</f>
        <v>19.5971</v>
      </c>
      <c r="O9" s="1" t="n">
        <f aca="false">ABS(M9)</f>
        <v>49.6904</v>
      </c>
      <c r="P9" s="1" t="n">
        <f aca="false">-1*M9</f>
        <v>-49.6904</v>
      </c>
    </row>
    <row r="10" customFormat="false" ht="17.35" hidden="false" customHeight="false" outlineLevel="0" collapsed="false">
      <c r="A10" s="1" t="n">
        <v>40</v>
      </c>
      <c r="B10" s="1" t="n">
        <f aca="false">78.5398/A10</f>
        <v>1.963495</v>
      </c>
      <c r="C10" s="1" t="n">
        <v>-23.5597</v>
      </c>
      <c r="D10" s="1" t="n">
        <v>-13.6021</v>
      </c>
      <c r="E10" s="1" t="n">
        <v>53.4597</v>
      </c>
      <c r="F10" s="3" t="n">
        <f aca="false">ABS((C10+23.5606)/23.5606)</f>
        <v>3.81993667394487E-005</v>
      </c>
      <c r="G10" s="1" t="n">
        <f aca="false">ABS((D10+13.6046)/13.6046)</f>
        <v>0.000183761374829065</v>
      </c>
      <c r="H10" s="1" t="n">
        <f aca="false">ABS((E10-53.47444)/53.44415)</f>
        <v>0.000275801935291389</v>
      </c>
      <c r="J10" s="1" t="n">
        <v>540</v>
      </c>
      <c r="K10" s="1" t="n">
        <v>-21.68</v>
      </c>
      <c r="L10" s="1" t="n">
        <v>-12.5705</v>
      </c>
      <c r="M10" s="1" t="n">
        <v>51.7519</v>
      </c>
      <c r="N10" s="1" t="n">
        <f aca="false">ABS(K10)</f>
        <v>21.68</v>
      </c>
      <c r="O10" s="1" t="n">
        <f aca="false">ABS(M10)</f>
        <v>51.7519</v>
      </c>
      <c r="P10" s="1" t="n">
        <f aca="false">-1*M10</f>
        <v>-51.7519</v>
      </c>
    </row>
    <row r="11" customFormat="false" ht="17.35" hidden="false" customHeight="false" outlineLevel="0" collapsed="false">
      <c r="A11" s="1" t="n">
        <v>80</v>
      </c>
      <c r="B11" s="1" t="n">
        <f aca="false">78.5398/A11</f>
        <v>0.9817475</v>
      </c>
      <c r="C11" s="1" t="n">
        <v>-23.5604</v>
      </c>
      <c r="D11" s="1" t="n">
        <v>-13.6041</v>
      </c>
      <c r="E11" s="1" t="n">
        <v>53.4715</v>
      </c>
      <c r="F11" s="3" t="n">
        <f aca="false">ABS((C11+23.5606)/23.5606)</f>
        <v>8.48874816428843E-006</v>
      </c>
      <c r="G11" s="1" t="n">
        <f aca="false">ABS((D11+13.6046)/13.6046)</f>
        <v>3.67522749657347E-005</v>
      </c>
      <c r="H11" s="1" t="n">
        <f aca="false">ABS((E11-53.47444)/53.44415)</f>
        <v>5.50106980839322E-005</v>
      </c>
      <c r="J11" s="1" t="n">
        <v>600</v>
      </c>
      <c r="K11" s="1" t="n">
        <v>-23.5604</v>
      </c>
      <c r="L11" s="1" t="n">
        <v>-13.6041</v>
      </c>
      <c r="M11" s="1" t="n">
        <v>53.4715</v>
      </c>
      <c r="N11" s="1" t="n">
        <f aca="false">ABS(K11)</f>
        <v>23.5604</v>
      </c>
      <c r="O11" s="1" t="n">
        <f aca="false">ABS(M11)</f>
        <v>53.4715</v>
      </c>
      <c r="P11" s="1" t="n">
        <f aca="false">-1*M11</f>
        <v>-53.4715</v>
      </c>
    </row>
    <row r="12" customFormat="false" ht="17.35" hidden="false" customHeight="false" outlineLevel="0" collapsed="false">
      <c r="A12" s="1" t="n">
        <v>160</v>
      </c>
      <c r="B12" s="1" t="n">
        <f aca="false">78.5398/A12</f>
        <v>0.49087375</v>
      </c>
      <c r="C12" s="1" t="n">
        <v>-23.5606</v>
      </c>
      <c r="D12" s="1" t="n">
        <v>-13.6046</v>
      </c>
      <c r="E12" s="1" t="n">
        <v>53.4744</v>
      </c>
      <c r="F12" s="3" t="n">
        <f aca="false">ABS((C12+23.5606)/23.5606)</f>
        <v>0</v>
      </c>
      <c r="G12" s="1" t="n">
        <f aca="false">ABS((D12+13.6046)/13.6046)</f>
        <v>0</v>
      </c>
      <c r="H12" s="1" t="n">
        <f aca="false">ABS((E12-53.47444)/53.44415)</f>
        <v>7.48444871861292E-007</v>
      </c>
    </row>
    <row r="15" customFormat="false" ht="17.35" hidden="false" customHeight="false" outlineLevel="0" collapsed="false">
      <c r="A15" s="1" t="n">
        <v>5</v>
      </c>
      <c r="C15" s="1" t="n">
        <v>-23.7174</v>
      </c>
      <c r="D15" s="1" t="n">
        <v>-13.5742</v>
      </c>
      <c r="E15" s="1" t="n">
        <v>52.8121</v>
      </c>
      <c r="F15" s="1" t="n">
        <f aca="false">ABS((C15-C$19)/C$19)</f>
        <v>0.00664236086057838</v>
      </c>
      <c r="G15" s="1" t="n">
        <f aca="false">ABS((D15-D$19)/D$19)</f>
        <v>0.00221987004204527</v>
      </c>
      <c r="H15" s="1" t="n">
        <f aca="false">ABS((E15-E$19)/E$19)</f>
        <v>0.0123465794439363</v>
      </c>
    </row>
    <row r="16" customFormat="false" ht="17.35" hidden="false" customHeight="false" outlineLevel="0" collapsed="false">
      <c r="A16" s="1" t="n">
        <v>10</v>
      </c>
      <c r="C16" s="1" t="n">
        <v>-23.601</v>
      </c>
      <c r="D16" s="1" t="n">
        <v>-13.5978</v>
      </c>
      <c r="E16" s="1" t="n">
        <v>53.3103</v>
      </c>
      <c r="F16" s="1" t="n">
        <f aca="false">ABS((C16-C$19)/C$19)</f>
        <v>0.00170197233552194</v>
      </c>
      <c r="G16" s="1" t="n">
        <f aca="false">ABS((D16-D$19)/D$19)</f>
        <v>0.000485137161506616</v>
      </c>
      <c r="H16" s="1" t="n">
        <f aca="false">ABS((E16-E$19)/E$19)</f>
        <v>0.00302960598291076</v>
      </c>
    </row>
    <row r="17" customFormat="false" ht="17.35" hidden="false" customHeight="false" outlineLevel="0" collapsed="false">
      <c r="A17" s="1" t="n">
        <v>20</v>
      </c>
      <c r="C17" s="1" t="n">
        <v>-23.5705</v>
      </c>
      <c r="D17" s="1" t="n">
        <v>-13.6029</v>
      </c>
      <c r="E17" s="1" t="n">
        <v>53.4338</v>
      </c>
      <c r="F17" s="1" t="n">
        <f aca="false">ABS((C17-C$19)/C$19)</f>
        <v>0.000407454723715942</v>
      </c>
      <c r="G17" s="1" t="n">
        <f aca="false">ABS((D17-D$19)/D$19)</f>
        <v>0.000110258445796952</v>
      </c>
      <c r="H17" s="1" t="n">
        <f aca="false">ABS((E17-E$19)/E$19)</f>
        <v>0.000719998952728779</v>
      </c>
    </row>
    <row r="18" customFormat="false" ht="17.35" hidden="false" customHeight="false" outlineLevel="0" collapsed="false">
      <c r="A18" s="1" t="n">
        <v>40</v>
      </c>
      <c r="C18" s="1" t="n">
        <v>-23.5628</v>
      </c>
      <c r="D18" s="1" t="n">
        <v>-13.6041</v>
      </c>
      <c r="E18" s="1" t="n">
        <v>53.4646</v>
      </c>
      <c r="F18" s="1" t="n">
        <f aca="false">ABS((C18-C$19)/C$19)</f>
        <v>8.06420807354186E-005</v>
      </c>
      <c r="G18" s="1" t="n">
        <f aca="false">ABS((D18-D$19)/D$19)</f>
        <v>2.20516891593382E-005</v>
      </c>
      <c r="H18" s="1" t="n">
        <f aca="false">ABS((E18-E$19)/E$19)</f>
        <v>0.000143999790545756</v>
      </c>
    </row>
    <row r="19" customFormat="false" ht="17.35" hidden="false" customHeight="false" outlineLevel="0" collapsed="false">
      <c r="A19" s="1" t="n">
        <v>80</v>
      </c>
      <c r="C19" s="1" t="n">
        <v>-23.5609</v>
      </c>
      <c r="D19" s="1" t="n">
        <v>-13.6044</v>
      </c>
      <c r="E19" s="1" t="n">
        <v>53.4723</v>
      </c>
      <c r="F19" s="1" t="n">
        <f aca="false">ABS((C19-C$19)/C$19)</f>
        <v>0</v>
      </c>
      <c r="G19" s="1" t="n">
        <f aca="false">ABS((D19-D$19)/D$19)</f>
        <v>0</v>
      </c>
      <c r="H19" s="1" t="n">
        <f aca="false">ABS((E19-E$19)/E$19)</f>
        <v>0</v>
      </c>
    </row>
  </sheetData>
  <mergeCells count="1">
    <mergeCell ref="C1:E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3" activeCellId="0" sqref="B13"/>
    </sheetView>
  </sheetViews>
  <sheetFormatPr defaultColWidth="19.48046875" defaultRowHeight="12.8" zeroHeight="false" outlineLevelRow="0" outlineLevelCol="0"/>
  <sheetData>
    <row r="1" s="5" customFormat="true" ht="17.35" hidden="false" customHeight="true" outlineLevel="0" collapsed="false">
      <c r="A1" s="4" t="s">
        <v>15</v>
      </c>
      <c r="B1" s="4"/>
      <c r="C1" s="4"/>
      <c r="D1" s="4"/>
      <c r="E1" s="4"/>
      <c r="F1" s="4"/>
      <c r="G1" s="4"/>
      <c r="H1" s="4"/>
    </row>
    <row r="2" s="5" customFormat="true" ht="48.15" hidden="false" customHeight="false" outlineLevel="0" collapsed="false">
      <c r="A2" s="6" t="s">
        <v>16</v>
      </c>
      <c r="B2" s="6" t="s">
        <v>8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</row>
    <row r="3" s="5" customFormat="true" ht="17.35" hidden="false" customHeight="false" outlineLevel="0" collapsed="false">
      <c r="A3" s="7" t="n">
        <v>5</v>
      </c>
      <c r="B3" s="7" t="n">
        <v>15.70796</v>
      </c>
      <c r="C3" s="7" t="n">
        <v>0.00317906317380008</v>
      </c>
      <c r="D3" s="7" t="n">
        <v>0.0127020530575342</v>
      </c>
      <c r="E3" s="7" t="n">
        <v>0.0186678885013511</v>
      </c>
      <c r="F3" s="7"/>
      <c r="G3" s="8"/>
      <c r="H3" s="8"/>
    </row>
    <row r="4" s="5" customFormat="true" ht="17.35" hidden="false" customHeight="false" outlineLevel="0" collapsed="false">
      <c r="A4" s="7" t="n">
        <v>10</v>
      </c>
      <c r="B4" s="7" t="n">
        <v>7.85398</v>
      </c>
      <c r="C4" s="7" t="n">
        <v>0.000704572078572537</v>
      </c>
      <c r="D4" s="7" t="n">
        <v>0.00312405818834031</v>
      </c>
      <c r="E4" s="7" t="n">
        <v>0.00461554285928018</v>
      </c>
      <c r="F4" s="7" t="n">
        <f aca="false">ROUND((LOG10(C3)-LOG10(C4))/(LOG10(B3)-LOG10(B4)),3)</f>
        <v>2.174</v>
      </c>
      <c r="G4" s="8" t="n">
        <f aca="false">ROUND((LOG10(D3)-LOG10(D4))/(LOG10(B3)-LOG10(B4)),3)</f>
        <v>2.024</v>
      </c>
      <c r="H4" s="8" t="n">
        <f aca="false">ROUND((LOG10(E3)-LOG10(E4))/(LOG10(B3)-LOG10(B4)),3)</f>
        <v>2.016</v>
      </c>
    </row>
    <row r="5" s="5" customFormat="true" ht="17.35" hidden="false" customHeight="false" outlineLevel="0" collapsed="false">
      <c r="A5" s="7" t="n">
        <v>20</v>
      </c>
      <c r="B5" s="7" t="n">
        <v>3.92699</v>
      </c>
      <c r="C5" s="7" t="n">
        <v>0.000161287584251617</v>
      </c>
      <c r="D5" s="7" t="n">
        <v>0.000771826140648804</v>
      </c>
      <c r="E5" s="7" t="n">
        <v>0.00109965121606833</v>
      </c>
      <c r="F5" s="7" t="n">
        <f aca="false">ROUND((LOG10(C4)-LOG10(C5))/(LOG10(B4)-LOG10(B5)),3)</f>
        <v>2.127</v>
      </c>
      <c r="G5" s="8" t="n">
        <f aca="false">ROUND((LOG10(D4)-LOG10(D5))/(LOG10(B4)-LOG10(B5)),3)</f>
        <v>2.017</v>
      </c>
      <c r="H5" s="8" t="n">
        <f aca="false">ROUND((LOG10(E4)-LOG10(E5))/(LOG10(B4)-LOG10(B5)),3)</f>
        <v>2.069</v>
      </c>
    </row>
    <row r="6" s="5" customFormat="true" ht="17.35" hidden="false" customHeight="false" outlineLevel="0" collapsed="false">
      <c r="A6" s="7" t="n">
        <v>40</v>
      </c>
      <c r="B6" s="7" t="n">
        <v>1.963495</v>
      </c>
      <c r="C6" s="7" t="n">
        <v>2.97108707832601E-005</v>
      </c>
      <c r="D6" s="7" t="n">
        <v>0.000147014502980768</v>
      </c>
      <c r="E6" s="7" t="n">
        <v>0.000220678305265439</v>
      </c>
      <c r="F6" s="7" t="n">
        <f aca="false">ROUND((LOG10(C5)-LOG10(C6))/(LOG10(B5)-LOG10(B6)),3)</f>
        <v>2.441</v>
      </c>
      <c r="G6" s="8" t="n">
        <f aca="false">ROUND((LOG10(D5)-LOG10(D6))/(LOG10(B5)-LOG10(B6)),3)</f>
        <v>2.392</v>
      </c>
      <c r="H6" s="8" t="n">
        <f aca="false">ROUND((LOG10(E5)-LOG10(E6))/(LOG10(B5)-LOG10(B6)),3)</f>
        <v>2.317</v>
      </c>
    </row>
    <row r="7" s="5" customFormat="true" ht="17.35" hidden="false" customHeight="false" outlineLevel="0" collapsed="false">
      <c r="A7" s="7" t="n">
        <v>80</v>
      </c>
      <c r="B7" s="7" t="n">
        <v>0.9817475</v>
      </c>
      <c r="C7" s="7" t="n">
        <v>0</v>
      </c>
      <c r="D7" s="7" t="n">
        <v>0</v>
      </c>
      <c r="E7" s="7" t="n">
        <v>0</v>
      </c>
      <c r="F7" s="7"/>
      <c r="G7" s="8"/>
      <c r="H7" s="8"/>
    </row>
    <row r="8" s="5" customFormat="true" ht="17.35" hidden="false" customHeight="false" outlineLevel="0" collapsed="false">
      <c r="A8" s="9"/>
      <c r="B8" s="9"/>
      <c r="C8" s="9"/>
      <c r="D8" s="9"/>
      <c r="E8" s="9"/>
      <c r="F8" s="9"/>
    </row>
    <row r="9" s="5" customFormat="true" ht="17.35" hidden="false" customHeight="false" outlineLevel="0" collapsed="false">
      <c r="A9" s="9"/>
      <c r="B9" s="9"/>
      <c r="C9" s="9"/>
      <c r="D9" s="9"/>
      <c r="E9" s="9"/>
      <c r="F9" s="9" t="n">
        <f aca="false">ROUND(AVERAGE(F4:F6),3)</f>
        <v>2.247</v>
      </c>
      <c r="G9" s="5" t="n">
        <f aca="false">ROUND(AVERAGE(G4:G6),3)</f>
        <v>2.144</v>
      </c>
      <c r="H9" s="5" t="n">
        <f aca="false">AVERAGE(H4:H6)</f>
        <v>2.134</v>
      </c>
    </row>
    <row r="13" customFormat="false" ht="12.8" hidden="false" customHeight="false" outlineLevel="0" collapsed="false">
      <c r="B13" s="10" t="s">
        <v>23</v>
      </c>
      <c r="C13" s="10"/>
      <c r="D13" s="10"/>
      <c r="E13" s="10"/>
      <c r="F13" s="10"/>
      <c r="G13" s="10"/>
      <c r="H13" s="10"/>
    </row>
    <row r="14" customFormat="false" ht="17.35" hidden="false" customHeight="false" outlineLevel="0" collapsed="false">
      <c r="A14" s="0" t="s">
        <v>24</v>
      </c>
      <c r="C14" s="3" t="s">
        <v>9</v>
      </c>
      <c r="D14" s="3" t="s">
        <v>10</v>
      </c>
      <c r="E14" s="3" t="s">
        <v>11</v>
      </c>
      <c r="F14" s="6" t="s">
        <v>17</v>
      </c>
      <c r="G14" s="6" t="s">
        <v>18</v>
      </c>
      <c r="H14" s="6" t="s">
        <v>19</v>
      </c>
    </row>
    <row r="15" customFormat="false" ht="17.35" hidden="false" customHeight="false" outlineLevel="0" collapsed="false">
      <c r="A15" s="1" t="n">
        <v>5</v>
      </c>
      <c r="B15" s="7" t="n">
        <v>15.70796</v>
      </c>
      <c r="C15" s="1" t="n">
        <v>-23.7174</v>
      </c>
      <c r="D15" s="1" t="n">
        <v>-13.5742</v>
      </c>
      <c r="E15" s="1" t="n">
        <v>52.8121</v>
      </c>
      <c r="F15" s="1" t="n">
        <f aca="false">ABS((C15-C$19)/C$19)</f>
        <v>0.00664236086057838</v>
      </c>
      <c r="G15" s="1" t="n">
        <f aca="false">ABS((D15-D$19)/D$19)</f>
        <v>0.00221987004204527</v>
      </c>
      <c r="H15" s="1" t="n">
        <f aca="false">ABS((E15-E$19)/E$19)</f>
        <v>0.0123465794439363</v>
      </c>
      <c r="I15" s="0" t="n">
        <f aca="false">ROUND((LOG10(F15)-LOG10(F16))/(LOG10(B15)-LOG10(B16)),3)</f>
        <v>1.964</v>
      </c>
      <c r="J15" s="0" t="n">
        <f aca="false">ROUND((LOG10(G15)-LOG10(G16))/(LOG10(B15)-LOG10(B16)),3)</f>
        <v>2.194</v>
      </c>
      <c r="K15" s="0" t="n">
        <f aca="false">ROUND((LOG10(H15)-LOG10(H16))/(LOG10(B15)-LOG10(B16)),3)</f>
        <v>2.027</v>
      </c>
    </row>
    <row r="16" customFormat="false" ht="17.35" hidden="false" customHeight="false" outlineLevel="0" collapsed="false">
      <c r="A16" s="1" t="n">
        <v>10</v>
      </c>
      <c r="B16" s="7" t="n">
        <v>7.85398</v>
      </c>
      <c r="C16" s="1" t="n">
        <v>-23.601</v>
      </c>
      <c r="D16" s="1" t="n">
        <v>-13.5978</v>
      </c>
      <c r="E16" s="1" t="n">
        <v>53.3103</v>
      </c>
      <c r="F16" s="1" t="n">
        <f aca="false">ABS((C16-C$19)/C$19)</f>
        <v>0.00170197233552194</v>
      </c>
      <c r="G16" s="1" t="n">
        <f aca="false">ABS((D16-D$19)/D$19)</f>
        <v>0.000485137161506616</v>
      </c>
      <c r="H16" s="1" t="n">
        <f aca="false">ABS((E16-E$19)/E$19)</f>
        <v>0.00302960598291076</v>
      </c>
      <c r="I16" s="0" t="n">
        <f aca="false">ROUND((LOG10(F16)-LOG10(F17))/(LOG10(B16)-LOG10(B17)),3)</f>
        <v>2.062</v>
      </c>
      <c r="J16" s="0" t="n">
        <f aca="false">ROUND((LOG10(G16)-LOG10(G17))/(LOG10(B16)-LOG10(B17)),3)</f>
        <v>2.138</v>
      </c>
      <c r="K16" s="0" t="n">
        <f aca="false">ROUND((LOG10(H16)-LOG10(H17))/(LOG10(B16)-LOG10(B17)),3)</f>
        <v>2.073</v>
      </c>
    </row>
    <row r="17" customFormat="false" ht="17.35" hidden="false" customHeight="false" outlineLevel="0" collapsed="false">
      <c r="A17" s="1" t="n">
        <v>20</v>
      </c>
      <c r="B17" s="7" t="n">
        <v>3.92699</v>
      </c>
      <c r="C17" s="1" t="n">
        <v>-23.5705</v>
      </c>
      <c r="D17" s="1" t="n">
        <v>-13.6029</v>
      </c>
      <c r="E17" s="1" t="n">
        <v>53.4338</v>
      </c>
      <c r="F17" s="1" t="n">
        <f aca="false">ABS((C17-C$19)/C$19)</f>
        <v>0.000407454723715942</v>
      </c>
      <c r="G17" s="1" t="n">
        <f aca="false">ABS((D17-D$19)/D$19)</f>
        <v>0.000110258445796952</v>
      </c>
      <c r="H17" s="1" t="n">
        <f aca="false">ABS((E17-E$19)/E$19)</f>
        <v>0.000719998952728779</v>
      </c>
      <c r="I17" s="0" t="n">
        <f aca="false">ROUND((LOG10(F17)-LOG10(F18))/(LOG10(B17)-LOG10(B18)),3)</f>
        <v>2.337</v>
      </c>
      <c r="J17" s="0" t="n">
        <f aca="false">ROUND((LOG10(G17)-LOG10(G18))/(LOG10(B17)-LOG10(B18)),3)</f>
        <v>2.322</v>
      </c>
      <c r="K17" s="0" t="n">
        <f aca="false">ROUND((LOG10(H17)-LOG10(H18))/(LOG10(B17)-LOG10(B18)),3)</f>
        <v>2.322</v>
      </c>
    </row>
    <row r="18" customFormat="false" ht="17.35" hidden="false" customHeight="false" outlineLevel="0" collapsed="false">
      <c r="A18" s="1" t="n">
        <v>40</v>
      </c>
      <c r="B18" s="7" t="n">
        <v>1.963495</v>
      </c>
      <c r="C18" s="1" t="n">
        <v>-23.5628</v>
      </c>
      <c r="D18" s="1" t="n">
        <v>-13.6041</v>
      </c>
      <c r="E18" s="1" t="n">
        <v>53.4646</v>
      </c>
      <c r="F18" s="1" t="n">
        <f aca="false">ABS((C18-C$19)/C$19)</f>
        <v>8.06420807354186E-005</v>
      </c>
      <c r="G18" s="1" t="n">
        <f aca="false">ABS((D18-D$19)/D$19)</f>
        <v>2.20516891593382E-005</v>
      </c>
      <c r="H18" s="1" t="n">
        <f aca="false">ABS((E18-E$19)/E$19)</f>
        <v>0.000143999790545756</v>
      </c>
    </row>
    <row r="19" customFormat="false" ht="17.35" hidden="false" customHeight="false" outlineLevel="0" collapsed="false">
      <c r="A19" s="1" t="n">
        <v>80</v>
      </c>
      <c r="B19" s="7" t="n">
        <v>0.9817475</v>
      </c>
      <c r="C19" s="1" t="n">
        <v>-23.5609</v>
      </c>
      <c r="D19" s="1" t="n">
        <v>-13.6044</v>
      </c>
      <c r="E19" s="1" t="n">
        <v>53.4723</v>
      </c>
      <c r="F19" s="1" t="n">
        <f aca="false">ABS((C19-C$19)/C$19)</f>
        <v>0</v>
      </c>
      <c r="G19" s="1" t="n">
        <f aca="false">ABS((D19-D$19)/D$19)</f>
        <v>0</v>
      </c>
      <c r="H19" s="1" t="n">
        <f aca="false">ABS((E19-E$19)/E$19)</f>
        <v>0</v>
      </c>
    </row>
  </sheetData>
  <mergeCells count="2">
    <mergeCell ref="A1:H1"/>
    <mergeCell ref="B13:H1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2021-05-14T10:42:29Z</dcterms:created>
  <dc:creator/>
  <dc:description/>
  <dc:language>en-US</dc:language>
  <cp:lastModifiedBy/>
  <dcterms:modified xsi:type="dcterms:W3CDTF">2022-03-29T19:29:39Z</dcterms:modified>
  <cp:revision>10</cp:revision>
  <dc:subject/>
  <dc:title/>
</cp:coreProperties>
</file>